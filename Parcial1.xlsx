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gildardo_sanchez_tec_mx1/Documents/Cursos/2026/2. Ago/Concentracion/B1/Reto/Stroke/"/>
    </mc:Choice>
  </mc:AlternateContent>
  <xr:revisionPtr revIDLastSave="188" documentId="11_B88818422BBA5EE99ADE289260F29DDA6DD22E5F" xr6:coauthVersionLast="47" xr6:coauthVersionMax="47" xr10:uidLastSave="{CD9F0C4B-1059-4347-9597-597B4926E89A}"/>
  <bookViews>
    <workbookView xWindow="3260" yWindow="3720" windowWidth="31880" windowHeight="18620" firstSheet="1" activeTab="1" xr2:uid="{00000000-000D-0000-FFFF-FFFF00000000}"/>
  </bookViews>
  <sheets>
    <sheet name="Resumen" sheetId="1" r:id="rId1"/>
    <sheet name="Evaluación Parcial 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5" i="3" l="1"/>
  <c r="D54" i="3"/>
  <c r="I36" i="3"/>
  <c r="K36" i="3" s="1"/>
  <c r="I31" i="3"/>
  <c r="K31" i="3" s="1"/>
  <c r="I27" i="3"/>
  <c r="K27" i="3" s="1"/>
  <c r="I20" i="3"/>
  <c r="K20" i="3" s="1"/>
  <c r="I16" i="3"/>
  <c r="I24" i="3" s="1"/>
  <c r="E39" i="1"/>
  <c r="E29" i="1"/>
  <c r="J19" i="1"/>
  <c r="C19" i="1"/>
  <c r="K16" i="3" l="1"/>
  <c r="I39" i="3"/>
  <c r="J52" i="3" s="1"/>
</calcChain>
</file>

<file path=xl/sharedStrings.xml><?xml version="1.0" encoding="utf-8"?>
<sst xmlns="http://schemas.openxmlformats.org/spreadsheetml/2006/main" count="295" uniqueCount="214">
  <si>
    <t>17 semanas</t>
  </si>
  <si>
    <t>Semestre</t>
  </si>
  <si>
    <t>5 Semanas: módulos básicos de ajuste.</t>
  </si>
  <si>
    <t>1 semana: reto kaggle 
(cierre y entrega de problema)</t>
  </si>
  <si>
    <t xml:space="preserve">9 Semanas: módulos avanzados </t>
  </si>
  <si>
    <t>2 semanas: inmersión</t>
  </si>
  <si>
    <t>Horas por módulo</t>
  </si>
  <si>
    <t>1 semana de reto</t>
  </si>
  <si>
    <t xml:space="preserve">Estadística para la Ciencia de Datos
(en la hoja Estadística)
</t>
  </si>
  <si>
    <t>Reto A: la solución de un problema de aplicación de ciencia de datos a través de una competencia intenacional: Kaggle o algún Hackathon o plataforma similar que esté vigente en ese año. 
(en la hoja reto A)</t>
  </si>
  <si>
    <t>Big Data
(en la hoja Big Data)</t>
  </si>
  <si>
    <t>Reto B: El segundo reto y el más grande es solucionar un problema no estructurado en el área de industria o investigación usando ciencia de datos, donde el estudiante haga análisis de datos, visualizaciones de la información relevante, integraciones con hardware en caso de ser necesario e implemente una herramienta utilizable por el socio fomador. 
(en la hoja reto B)</t>
  </si>
  <si>
    <t>Técnicas y arquitecturas de Deep Learning
(en la hoja Deep Learning)</t>
  </si>
  <si>
    <t xml:space="preserve">Aprendizaje máquina (automático).
(en la hoja Aprendizaje Máquina)
</t>
  </si>
  <si>
    <t>Herramientas para el procesamiento del lenguaje natural
(en la hoja Lenguaje Natural)</t>
  </si>
  <si>
    <t>Desarrollo de software aplicado a la Ciencia de Datos
(en la hoja Desarrollo de software)</t>
  </si>
  <si>
    <t>Cómputo en la nube
(en la hoja Cómputo nube)</t>
  </si>
  <si>
    <t>Integración de hardware para la Ciencia de Datos
(en la hoja Hardware)</t>
  </si>
  <si>
    <t>Estadística avanzada para la ciencia de datos
(en la hoja Estadística Avanzada)</t>
  </si>
  <si>
    <t>Reto A: 
(en la hoja reto A)</t>
  </si>
  <si>
    <t>Reto B:
(en la hoja reto B)</t>
  </si>
  <si>
    <t>Intención</t>
  </si>
  <si>
    <t xml:space="preserve">El Reto A se usa para integrar al grupo y nivelar las competencias previas en el área de Ciencia de Datos. 
Tiene que ser una plataforma que ya tenga un objetivo claro a lograr y un conjunto de datos. </t>
  </si>
  <si>
    <t xml:space="preserve">El Reto B sirve para que los alumnos se topen con los problemas de tener que desplegar una solución de ciencia de datos en un ambiente real, donde no hay tanto control y se tienen que hacer adecuaciones y tomar factores inesperados en cuenta para que la herramienta o solución sea útil. </t>
  </si>
  <si>
    <t xml:space="preserve">Etapa de Regularización/Preparación </t>
  </si>
  <si>
    <t>Módulos de contenidos avanzados (preparación para certificación en caso de desearlo.)</t>
  </si>
  <si>
    <t>Horas por semana</t>
  </si>
  <si>
    <t>Horas por Bloque</t>
  </si>
  <si>
    <t>Horas Reportadas en Sammp</t>
  </si>
  <si>
    <t>Evidencias Bloque 1</t>
  </si>
  <si>
    <t>Competencias Bloque 1</t>
  </si>
  <si>
    <t>Evidencias Bloque 2</t>
  </si>
  <si>
    <t>Competencias Bloque 2</t>
  </si>
  <si>
    <t>Bloque 1</t>
  </si>
  <si>
    <t>SMA0400 - Métodos cognitivos: Utiliza métodos de inteligencia artificial y cómputo cognitivo en la solución de problemas de optimización.</t>
  </si>
  <si>
    <t xml:space="preserve">Temas </t>
  </si>
  <si>
    <t>Temas</t>
  </si>
  <si>
    <t>Horas</t>
  </si>
  <si>
    <t>Portafolio Implementación</t>
  </si>
  <si>
    <t xml:space="preserve">SMA0401A - Aprendizaje e IA: Emplea métodos de aprendizaje máquina e inteligencia artificial en el procesamiento de información que habilitan la personalización de procesos, servicios o productos. </t>
  </si>
  <si>
    <t xml:space="preserve">SMA0401C - Aprendizaje e IA: Emplea métodos de aprendizaje máquina e inteligencia artificial en el procesamiento de información que habilitan la personalización de procesos, servicios o productos. </t>
  </si>
  <si>
    <t>Tema 1</t>
  </si>
  <si>
    <t>1. Estadística para la ciencia de datos.</t>
  </si>
  <si>
    <t>SMA0402C - Reconocimiento de patrones, lenguaje natural e IA: Desarrolla sistemas de minería de datos, reconocimiento de patrones y procesamiento de lenguaje natural, que emulan el funcionamiento de un recomendado.</t>
  </si>
  <si>
    <t>Tema 2</t>
  </si>
  <si>
    <t>2. Aprendizaje máquina (automático).</t>
  </si>
  <si>
    <t>Tema 3</t>
  </si>
  <si>
    <t>3. Desarrollo de software aplicado a la ciencia de datos.</t>
  </si>
  <si>
    <t>SMA0100 - Modelación matemática: Construye modelos matemáticos deterministas o estocásticos, soportados por herramientas computacionales de vanguardia.</t>
  </si>
  <si>
    <t>Tema 4</t>
  </si>
  <si>
    <t>4. Integración de hardware para la ciencia de datos.</t>
  </si>
  <si>
    <t>SMA0101A - Construcción de modelos: Construye modelos estocásticos y/o
deterministas adaptados al contexto establecido por las necesidades del problema en cuestión.</t>
  </si>
  <si>
    <t>SMA0101C - Construcción de modelos: Construye modelos estocásticos y/o deterministas adaptados al contexto establecido por las necesidades del problema en cuestión.</t>
  </si>
  <si>
    <t>Reto</t>
  </si>
  <si>
    <t>Portafolio Análisis</t>
  </si>
  <si>
    <t>SMA0102A - Técnicas analíticas: Aplica técnicas matemáticas en la solución
analítica de problemas.</t>
  </si>
  <si>
    <t>SMA0104C - Análisis de información: Analiza la información proveniente de modelos, considerando la toma de decisiones como objetivo final.</t>
  </si>
  <si>
    <t>Total de horas supervisadas en Bloque 1</t>
  </si>
  <si>
    <t>SMA0104A - Análisis de información: Analiza la información proveniente de
modelos, considerando la toma de decisiones como objetivo final.</t>
  </si>
  <si>
    <t>SEG0400 - Compromiso ético y ciudadano: Implementa proyectos orientados a la transformación del entorno y el bienestar común, con conciencia ética y responsabilidad social.</t>
  </si>
  <si>
    <t>Bloque 2</t>
  </si>
  <si>
    <t>SEG0403B - Resuelve situaciones de la vida académica, profesional y social, mediante el cumplimiento de leyes, normas y principios éticos.
En este nivel, pone mayor énfasis en las situaciones del campo académico y profesional.
Realiza lo anterior, a partir de la comprensión de los valores de la integridad y el uso de herramientas y referentes normativos para actuar con respeto y honestidad.</t>
  </si>
  <si>
    <t>SEG0403A - Integridad: Aborda situaciones de la vida cotidiana, mediante el cumplimiento de leyes, normas y principios éticos.
En el abordaje identifica la normatividad correspondiente para conducirse con respeto y honestidad.</t>
  </si>
  <si>
    <t>1. Big Data.</t>
  </si>
  <si>
    <t>2. Técnicas y arquitecturas de deep learning.</t>
  </si>
  <si>
    <t>3. Herramientas para el procesamiento del lenguaje natural.</t>
  </si>
  <si>
    <t>4. Cómputo en la nube.</t>
  </si>
  <si>
    <t>Tema 5</t>
  </si>
  <si>
    <t>5. Estadística avanzada para la ciencia de datos.</t>
  </si>
  <si>
    <t>Link Luzma: Visualización de UF, competencias y subcompetencias</t>
  </si>
  <si>
    <t>Total de horas supervisadas en Bloque 2</t>
  </si>
  <si>
    <t>https://datastudio.google.com/u/0/reporting/3da1806c-9c2a-4169-8553-e2c911767c7e/page/p_j314hgr6sc</t>
  </si>
  <si>
    <t>liga directa de registro en Samp</t>
  </si>
  <si>
    <t>liga a materiales para llenar canvas</t>
  </si>
  <si>
    <t>https://samp.itesm.mx/fd/Materias/Solicitudes</t>
  </si>
  <si>
    <t xml:space="preserve"> ¿ya revisaron con el equipo de diseño y terminaron de definir la distribución de subcompetencias en las dos UF de la Concentración?  Faltaba agregar la subcompetencia transversal en la UF de 6 créditos.</t>
  </si>
  <si>
    <t>https://drive.google.com/drive/u/0/folders/1KzCudmw_28AdSA7y76tzupJO4SQwPIbw</t>
  </si>
  <si>
    <t>liga directa carpetas de revisión</t>
  </si>
  <si>
    <t>https://drive.google.com/drive/folders/1E5UR5GxaTBv4rJEFek2c-nX5UuKn-JTv</t>
  </si>
  <si>
    <t>Métodología Crsip DM</t>
  </si>
  <si>
    <t>https://www.ibm.com/docs/es/spss-modeler/SaaS?topic=dm-crisp-help-overview</t>
  </si>
  <si>
    <t>Registrados en Samp</t>
  </si>
  <si>
    <t xml:space="preserve">Bibliografias Base:  Formato  Autor, Libro, Editorial, año                                                </t>
  </si>
  <si>
    <t>ISBN</t>
  </si>
  <si>
    <t>Titulo</t>
  </si>
  <si>
    <t>Autor</t>
  </si>
  <si>
    <t>Editorial</t>
  </si>
  <si>
    <t>Edición</t>
  </si>
  <si>
    <t>Lugar de publicación</t>
  </si>
  <si>
    <t>Año de publicación</t>
  </si>
  <si>
    <t>Idioma</t>
  </si>
  <si>
    <t>Tipo de bibliografía</t>
  </si>
  <si>
    <t>Fuente</t>
  </si>
  <si>
    <t>Geron, Aurelien, Hands-On Machine Learning with Scikit-Learn and TensorFlow : Concepts, Tools, and Techniques to Build Intelligent Systems, O'Reilly 2019</t>
  </si>
  <si>
    <t>Naked statistics : stripping the dread from the data</t>
  </si>
  <si>
    <t>Wheelan, Charles J</t>
  </si>
  <si>
    <t>W.W. Norton &amp; Company</t>
  </si>
  <si>
    <t>Primera edición.</t>
  </si>
  <si>
    <t>©2013.</t>
  </si>
  <si>
    <t>spa</t>
  </si>
  <si>
    <t>Consulta</t>
  </si>
  <si>
    <t>Biblioteca</t>
  </si>
  <si>
    <t>Chollet, François., Deep Learning with Python, Shelter Island, NY : Manning Publications Co., 2018</t>
  </si>
  <si>
    <t>Artificial intelligence : a modern approach</t>
  </si>
  <si>
    <t>Russell Stuart J</t>
  </si>
  <si>
    <t>Pearson</t>
  </si>
  <si>
    <t>Third edition.</t>
  </si>
  <si>
    <t>Mexico City</t>
  </si>
  <si>
    <t>Probabilidad y Estadística para Ingeniería y Ciencias, Jay L. Devore, Edición 9, 2016 Ed. Cengage Learning</t>
  </si>
  <si>
    <t>Dive into deep learning : tools for engagement</t>
  </si>
  <si>
    <t>Quinn, Joanne</t>
  </si>
  <si>
    <t>eng</t>
  </si>
  <si>
    <t>Externo</t>
  </si>
  <si>
    <t>Introduction to machine learning with Python : a guide for data scientists</t>
  </si>
  <si>
    <t>Müller, Andreas C</t>
  </si>
  <si>
    <t>O'Reilly Media</t>
  </si>
  <si>
    <t>First edition.</t>
  </si>
  <si>
    <t>Sebastopol, CA</t>
  </si>
  <si>
    <t>©2017</t>
  </si>
  <si>
    <t>Bibliografias Consulta:</t>
  </si>
  <si>
    <t>Transfer learning for natural language processing</t>
  </si>
  <si>
    <t>Azunre, Paul</t>
  </si>
  <si>
    <t>Gareth James, Daniela Witten, Trevor Hastie, Robert Tibshirani. An Introduction to Statistical Learning : with Applications in R. New York :Springer, 2013.</t>
  </si>
  <si>
    <t>Machine learning : a probabilistic perspective</t>
  </si>
  <si>
    <t>Murphy, Kevin P</t>
  </si>
  <si>
    <t>Wheelan, Charles J. Naked statistics : stripping the dread from the data, New York : W.W. Norton &amp; Company, 2013</t>
  </si>
  <si>
    <t>Probabilistic graphical models : principles and techniques</t>
  </si>
  <si>
    <t>Koller Daphne</t>
  </si>
  <si>
    <t>Russell, Stuart J, and Peter Norvig. Artificial Intelligence: A Modern Approach. Englewood Cliffs, N.J: Pearson; 4th ed, 2020. ISBN-10 ‏ : ‎ 0134610997, ISBN-13 ‏ : ‎ 978-0134610993</t>
  </si>
  <si>
    <t>Deep learning with Python</t>
  </si>
  <si>
    <t>Chollet, François</t>
  </si>
  <si>
    <t>Manning Publications Co.</t>
  </si>
  <si>
    <t>Shelter Island, NY</t>
  </si>
  <si>
    <t>©2018</t>
  </si>
  <si>
    <t>Texto</t>
  </si>
  <si>
    <t>Dive into Deep Learning. Zhang, Aston and Lipton, Zachary C. and Li, Mu and Smola, Alexander J. 2021. https://d2l.ai/   (no esta)</t>
  </si>
  <si>
    <t>Introducción a la probabilidad y estadística : para ingeniería y ciencias</t>
  </si>
  <si>
    <t>Devore, Jay L</t>
  </si>
  <si>
    <t>Cengage Learning</t>
  </si>
  <si>
    <t>Ciudad de México</t>
  </si>
  <si>
    <t>Learning Bayesian Networks. Richard E. Neapolitan. Pearson (24 Mayo 2019).  (no esta)</t>
  </si>
  <si>
    <t>Hands-on machine learning with Scikit-Learn, Keras, and TensorFlow : concepts, tools and techniques to build intelligent systems</t>
  </si>
  <si>
    <t>Géron, Aurélien</t>
  </si>
  <si>
    <t>O'Reilly Media, Inc.</t>
  </si>
  <si>
    <t>Second edition.</t>
  </si>
  <si>
    <t xml:space="preserve">Hands-on Scikit-Learn for Machine Learning Applications: Data Science Fundamentals with Python 1st ed. Edición.  David Paper. ISBN-10 ‏ : ‎ 1484253728
ISBN-13 ‏ : ‎ 978-1484253724
</t>
  </si>
  <si>
    <t>Introduction to Machine Learning with Python: A Guide for Data Scientists 1st Edición
de Andreas C. Müller (Author), Sarah Guido  (Author). O'Reilly Media; 1er edición (1 Noviembre 2016). ISBN-10 ‏ : ‎ 1449369413
ISBN-13 ‏ : ‎ 978-1449369415</t>
  </si>
  <si>
    <t xml:space="preserve">Deep Learning (Adaptive Computation and Machine Learning series). Ian Goodfellow  (Author), Yoshua Bengio  (Author), Aaron Courville  (Author). The MIT Press; Illustrated edición (18 Noviembre 2016). ISBN-10 ‏ : ‎ 0262035618
ISBN-13 ‏ : ‎ 978-0262035613
</t>
  </si>
  <si>
    <t>Transfer Learning for Natural Language Processing.  Paul Azunre  (Author). Manning (31 Agosto 2021). ISBN-10 ‏ : ‎ 1617297267
ISBN-13 ‏ : ‎ 978-1617297267</t>
  </si>
  <si>
    <t>Kevin P. Murphy. Probabilistic Machine Learning: An Introduction. The MIT Press (1 Febrero 2022)</t>
  </si>
  <si>
    <t xml:space="preserve">Probabilistic Graphical Models. Daphne Koller. The MIT Press (31 Julio 2009). ISBN-10 ‏ : ‎ 0262013193
ISBN-13 ‏ : ‎ 978-0262013192. </t>
  </si>
  <si>
    <t>SEG0403A - Integridad Resuelve: situaciones de la vida académica, profesional y social, mediante el cumplimiento de leyes, normas y principios éticos.</t>
  </si>
  <si>
    <t>Evidencia</t>
  </si>
  <si>
    <t>Subcompetencia</t>
  </si>
  <si>
    <t>Indicador</t>
  </si>
  <si>
    <t>se observa indicador en la evidencia: si / no</t>
  </si>
  <si>
    <t>Módulo Responsable de evaluar el rubro</t>
  </si>
  <si>
    <t xml:space="preserve">Nivel de la Sub Competencia con los indicadores observados: 
4 destacado 3 sólido 2 básico 1 incipiente        </t>
  </si>
  <si>
    <t>Nombre del nivel alcanzado</t>
  </si>
  <si>
    <t>Cálculos para nivel</t>
  </si>
  <si>
    <t>SMA0401A
Aprendizaje e IA</t>
  </si>
  <si>
    <t>Implementa una técnica o algoritmo de aprendizaje máquina, sin uso de marco de trabajo o framework  como regresiones, árboles, clusters, etc...</t>
  </si>
  <si>
    <t>(Indicador1 + Indicador2)*2</t>
  </si>
  <si>
    <t>Usa un marco de trabajo o framework para implementa una técnica o algoritmo de aprendizaje máquina como: regresiones, árboles, clusters, etc...</t>
  </si>
  <si>
    <t>SMA0101A
Construcción de modelos</t>
  </si>
  <si>
    <t>Construye un modelo manualmente a partir de un set de datos, seleccionado las variables a utilizar.</t>
  </si>
  <si>
    <t>Indicador1 +
Indicador2 +
Indicador3 +
1</t>
  </si>
  <si>
    <t xml:space="preserve">Explica correctamente cada una de las variables seleccionadas en el modelo y su utilidad en el modelo. </t>
  </si>
  <si>
    <t>Explica correctamente como funciona el modelo que utiliza y valida los supuestos del modelo.</t>
  </si>
  <si>
    <t>promedio sub-competencias * 25</t>
  </si>
  <si>
    <t>SMA0102A 
Técnicas analíticas</t>
  </si>
  <si>
    <t>Utiliza al menos 2 técnicas de preprocesamiento de acuerdo al problema como escalamiento,  detección de anomalías, imputación, etc...</t>
  </si>
  <si>
    <t>Explica claramente el uso de cada técnica de análisis utilizada y su relevancia en el set de datos.</t>
  </si>
  <si>
    <t>SMA0104A 
Análisis de información</t>
  </si>
  <si>
    <t>Evalúa el modelo con un conjunto de prueba y un conjunto de validación</t>
  </si>
  <si>
    <t>Indicador1 +
Indicador2 +
Indicador3 +
Indicador4 +
Indicador5 +
 - 1</t>
  </si>
  <si>
    <t>Detecta correctamente el grado de bias o sesgo: bajo medio alto</t>
  </si>
  <si>
    <t>Detecta correctamente el grado de varianza: bajo medio alto</t>
  </si>
  <si>
    <t>Explica el nivel de ajuste del modelo: underfitt  fitt overfitt</t>
  </si>
  <si>
    <t>Utiliza técnicas de regularización para mejorar el desempeño del modelo</t>
  </si>
  <si>
    <t>SEG0403A
 Integridad Resuelve</t>
  </si>
  <si>
    <t>Explica como la solución cumple leyes, normas y principios éticos, de la industria o el ambiente del reto.</t>
  </si>
  <si>
    <t xml:space="preserve">(Indicador1 + Indicador2)*2
</t>
  </si>
  <si>
    <t>Explica en su repositorio cual es la normatividad correspondiente del reto o socio formador.</t>
  </si>
  <si>
    <t>Proyecto Retro en equipo</t>
  </si>
  <si>
    <t>Rubros</t>
  </si>
  <si>
    <t>indicadores</t>
  </si>
  <si>
    <t>se observa indicador en la actividad: si / no</t>
  </si>
  <si>
    <t>Repositorio de Gtihub y Reporte por equipo</t>
  </si>
  <si>
    <t>Datos</t>
  </si>
  <si>
    <t>Limpia los datos con ETLs o una herramienta equivalente de manera correcta</t>
  </si>
  <si>
    <t>Transforma los datos con ETLs una herramienta equivalente de manera correcta</t>
  </si>
  <si>
    <t>Modelo</t>
  </si>
  <si>
    <t>Selecciona el modelo adecuado al problema</t>
  </si>
  <si>
    <t>Configura el modelo de manera correcta</t>
  </si>
  <si>
    <t>Entrena el modelo de manera correcta</t>
  </si>
  <si>
    <t>Evaluación</t>
  </si>
  <si>
    <t>Separa los datos en entrenamiento, validación y pruebas, y los compara correctamente.</t>
  </si>
  <si>
    <t xml:space="preserve">Bloque </t>
  </si>
  <si>
    <t>Selecciona métricas adecuadas</t>
  </si>
  <si>
    <t>30 %</t>
  </si>
  <si>
    <t>Interpreta los resultados del modelo de manera correcta</t>
  </si>
  <si>
    <t>Refinamiento</t>
  </si>
  <si>
    <t>Utiliza técnicas de regularización</t>
  </si>
  <si>
    <t>40 %</t>
  </si>
  <si>
    <t>Ajusta los hiperparámetros o prueba con otras versiones</t>
  </si>
  <si>
    <t>Final</t>
  </si>
  <si>
    <t>Solución</t>
  </si>
  <si>
    <t>Genera un interfaz (web o móvil) para poder utilizar el modelo.</t>
  </si>
  <si>
    <t>Calificación de Equipo</t>
  </si>
  <si>
    <t>Competencias Parcial 1</t>
  </si>
  <si>
    <t>Evidencias Parcial 1</t>
  </si>
  <si>
    <t>Calificación a portafolio Análisis</t>
  </si>
  <si>
    <t>Calificación a portafolio Implementación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</si>
</sst>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rgb="FFFFFFFF"/>
      <name val="&quot;Arial Narrow&quot;"/>
    </font>
    <font>
      <sz val="12"/>
      <color rgb="FF000000"/>
      <name val="&quot;Arial Narrow&quot;"/>
    </font>
    <font>
      <b/>
      <sz val="12"/>
      <color rgb="FF000000"/>
      <name val="&quot;Arial Narrow&quot;"/>
    </font>
    <font>
      <sz val="10"/>
      <name val="Arial"/>
      <family val="2"/>
    </font>
    <font>
      <b/>
      <sz val="10"/>
      <color rgb="FF000000"/>
      <name val="&quot;Arial Narrow&quot;"/>
    </font>
    <font>
      <b/>
      <sz val="12"/>
      <color theme="1"/>
      <name val="&quot;Arial Narrow&quot;"/>
    </font>
    <font>
      <b/>
      <sz val="11"/>
      <color rgb="FFFFFFFF"/>
      <name val="Calibri"/>
      <family val="2"/>
    </font>
    <font>
      <b/>
      <sz val="9"/>
      <color rgb="FF000000"/>
      <name val="&quot;Arial Narrow&quot;"/>
    </font>
    <font>
      <b/>
      <sz val="11"/>
      <color rgb="FF000000"/>
      <name val="Calibri"/>
      <family val="2"/>
    </font>
    <font>
      <b/>
      <sz val="9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Docs-Calibri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Roboto"/>
    </font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b/>
      <sz val="10"/>
      <color rgb="FF676A6C"/>
      <name val="&quot;open sans&quot;"/>
    </font>
    <font>
      <sz val="10"/>
      <color theme="1"/>
      <name val="&quot;open sans&quot;"/>
    </font>
    <font>
      <sz val="10"/>
      <color rgb="FF676A6C"/>
      <name val="Arial"/>
      <family val="2"/>
    </font>
    <font>
      <sz val="10"/>
      <color rgb="FF676A6C"/>
      <name val="&quot;open sans&quot;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  <scheme val="major"/>
    </font>
    <font>
      <sz val="11"/>
      <name val="Arial"/>
      <family val="2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A3838"/>
        <bgColor rgb="FF3A3838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7030A0"/>
        <bgColor rgb="FF7030A0"/>
      </patternFill>
    </fill>
    <fill>
      <patternFill patternType="solid">
        <fgColor rgb="FFC5E0B3"/>
        <bgColor rgb="FFC5E0B3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8E7CC3"/>
        <bgColor rgb="FF8E7CC3"/>
      </patternFill>
    </fill>
    <fill>
      <patternFill patternType="solid">
        <fgColor rgb="FFF5F5F6"/>
        <bgColor rgb="FFF5F5F6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E7E7E7"/>
      </right>
      <top style="thick">
        <color rgb="FF000000"/>
      </top>
      <bottom style="thin">
        <color rgb="FFDDDDDD"/>
      </bottom>
      <diagonal/>
    </border>
    <border>
      <left style="thin">
        <color rgb="FFE7E7E7"/>
      </left>
      <right style="thin">
        <color rgb="FFE7E7E7"/>
      </right>
      <top style="thick">
        <color rgb="FF000000"/>
      </top>
      <bottom style="thin">
        <color rgb="FFDDDDDD"/>
      </bottom>
      <diagonal/>
    </border>
    <border>
      <left style="thin">
        <color rgb="FFE7E7E7"/>
      </left>
      <right style="thick">
        <color rgb="FF000000"/>
      </right>
      <top style="thick">
        <color rgb="FF000000"/>
      </top>
      <bottom style="thin">
        <color rgb="FFDDDDDD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4" fillId="2" borderId="0" xfId="0" applyFont="1" applyFill="1" applyAlignment="1">
      <alignment horizontal="left" vertical="top" wrapText="1"/>
    </xf>
    <xf numFmtId="0" fontId="2" fillId="9" borderId="0" xfId="0" applyFont="1" applyFill="1"/>
    <xf numFmtId="0" fontId="2" fillId="10" borderId="16" xfId="0" applyFont="1" applyFill="1" applyBorder="1" applyAlignment="1">
      <alignment wrapText="1"/>
    </xf>
    <xf numFmtId="0" fontId="2" fillId="10" borderId="19" xfId="0" applyFont="1" applyFill="1" applyBorder="1" applyAlignment="1">
      <alignment wrapText="1"/>
    </xf>
    <xf numFmtId="0" fontId="2" fillId="0" borderId="0" xfId="0" applyFont="1"/>
    <xf numFmtId="0" fontId="2" fillId="0" borderId="20" xfId="0" applyFont="1" applyBorder="1" applyAlignment="1">
      <alignment horizontal="left" vertical="top" wrapText="1"/>
    </xf>
    <xf numFmtId="0" fontId="2" fillId="10" borderId="21" xfId="0" applyFont="1" applyFill="1" applyBorder="1" applyAlignment="1">
      <alignment horizontal="left" vertical="top" wrapText="1"/>
    </xf>
    <xf numFmtId="0" fontId="3" fillId="0" borderId="22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/>
    </xf>
    <xf numFmtId="0" fontId="2" fillId="2" borderId="20" xfId="0" applyFont="1" applyFill="1" applyBorder="1" applyAlignment="1">
      <alignment horizontal="left" vertical="top" wrapText="1"/>
    </xf>
    <xf numFmtId="0" fontId="2" fillId="2" borderId="21" xfId="0" applyFont="1" applyFill="1" applyBorder="1" applyAlignment="1">
      <alignment horizontal="left" vertical="top" wrapText="1"/>
    </xf>
    <xf numFmtId="0" fontId="2" fillId="0" borderId="19" xfId="0" applyFont="1" applyBorder="1" applyAlignment="1">
      <alignment horizontal="left" vertical="center"/>
    </xf>
    <xf numFmtId="0" fontId="17" fillId="12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wrapText="1"/>
    </xf>
    <xf numFmtId="0" fontId="2" fillId="0" borderId="0" xfId="0" applyFont="1" applyAlignment="1">
      <alignment horizontal="left" vertical="top" wrapText="1"/>
    </xf>
    <xf numFmtId="0" fontId="17" fillId="13" borderId="19" xfId="0" applyFont="1" applyFill="1" applyBorder="1" applyAlignment="1">
      <alignment horizontal="center" vertical="center"/>
    </xf>
    <xf numFmtId="0" fontId="2" fillId="0" borderId="25" xfId="0" applyFont="1" applyBorder="1" applyAlignment="1">
      <alignment wrapText="1"/>
    </xf>
    <xf numFmtId="0" fontId="17" fillId="14" borderId="19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wrapText="1"/>
    </xf>
    <xf numFmtId="0" fontId="17" fillId="15" borderId="19" xfId="0" applyFont="1" applyFill="1" applyBorder="1" applyAlignment="1">
      <alignment horizontal="center" vertical="center"/>
    </xf>
    <xf numFmtId="0" fontId="18" fillId="2" borderId="0" xfId="0" applyFont="1" applyFill="1"/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wrapText="1"/>
    </xf>
    <xf numFmtId="0" fontId="2" fillId="9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10" borderId="21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2" fillId="0" borderId="26" xfId="0" applyFont="1" applyBorder="1" applyAlignment="1">
      <alignment horizontal="left" vertical="center" wrapText="1"/>
    </xf>
    <xf numFmtId="0" fontId="17" fillId="12" borderId="30" xfId="0" applyFont="1" applyFill="1" applyBorder="1" applyAlignment="1">
      <alignment horizontal="center" vertical="center"/>
    </xf>
    <xf numFmtId="0" fontId="17" fillId="17" borderId="30" xfId="0" applyFont="1" applyFill="1" applyBorder="1" applyAlignment="1">
      <alignment horizontal="center" vertical="center"/>
    </xf>
    <xf numFmtId="0" fontId="17" fillId="14" borderId="30" xfId="0" applyFont="1" applyFill="1" applyBorder="1" applyAlignment="1">
      <alignment horizontal="center" vertical="center"/>
    </xf>
    <xf numFmtId="0" fontId="17" fillId="15" borderId="30" xfId="0" applyFont="1" applyFill="1" applyBorder="1" applyAlignment="1">
      <alignment horizontal="center" vertical="center"/>
    </xf>
    <xf numFmtId="0" fontId="17" fillId="18" borderId="30" xfId="0" applyFont="1" applyFill="1" applyBorder="1" applyAlignment="1">
      <alignment horizontal="center" vertical="center"/>
    </xf>
    <xf numFmtId="0" fontId="2" fillId="2" borderId="0" xfId="0" applyFont="1" applyFill="1"/>
    <xf numFmtId="0" fontId="2" fillId="0" borderId="28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19" fillId="0" borderId="0" xfId="0" applyFont="1"/>
    <xf numFmtId="0" fontId="3" fillId="0" borderId="22" xfId="0" applyFont="1" applyBorder="1"/>
    <xf numFmtId="0" fontId="2" fillId="0" borderId="23" xfId="0" applyFont="1" applyBorder="1"/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23" fillId="0" borderId="31" xfId="0" applyFont="1" applyBorder="1" applyAlignment="1">
      <alignment horizontal="left" vertical="top"/>
    </xf>
    <xf numFmtId="0" fontId="23" fillId="0" borderId="32" xfId="0" applyFont="1" applyBorder="1" applyAlignment="1">
      <alignment horizontal="left" vertical="top"/>
    </xf>
    <xf numFmtId="0" fontId="23" fillId="19" borderId="32" xfId="0" applyFont="1" applyFill="1" applyBorder="1" applyAlignment="1">
      <alignment horizontal="left" vertical="top"/>
    </xf>
    <xf numFmtId="0" fontId="23" fillId="0" borderId="33" xfId="0" applyFont="1" applyBorder="1" applyAlignment="1">
      <alignment horizontal="left" vertical="top"/>
    </xf>
    <xf numFmtId="0" fontId="24" fillId="10" borderId="20" xfId="0" applyFont="1" applyFill="1" applyBorder="1" applyAlignment="1">
      <alignment horizontal="left" vertical="top"/>
    </xf>
    <xf numFmtId="0" fontId="24" fillId="10" borderId="0" xfId="0" applyFont="1" applyFill="1" applyAlignment="1">
      <alignment horizontal="left" vertical="top"/>
    </xf>
    <xf numFmtId="0" fontId="24" fillId="10" borderId="25" xfId="0" applyFont="1" applyFill="1" applyBorder="1" applyAlignment="1">
      <alignment horizontal="left" vertical="top"/>
    </xf>
    <xf numFmtId="0" fontId="24" fillId="0" borderId="34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24" fillId="0" borderId="30" xfId="0" applyFont="1" applyBorder="1" applyAlignment="1">
      <alignment horizontal="left" vertical="top"/>
    </xf>
    <xf numFmtId="0" fontId="24" fillId="10" borderId="34" xfId="0" applyFont="1" applyFill="1" applyBorder="1" applyAlignment="1">
      <alignment horizontal="left" vertical="top"/>
    </xf>
    <xf numFmtId="0" fontId="24" fillId="10" borderId="1" xfId="0" applyFont="1" applyFill="1" applyBorder="1" applyAlignment="1">
      <alignment horizontal="left" vertical="top"/>
    </xf>
    <xf numFmtId="0" fontId="24" fillId="10" borderId="30" xfId="0" applyFont="1" applyFill="1" applyBorder="1" applyAlignment="1">
      <alignment horizontal="left" vertical="top"/>
    </xf>
    <xf numFmtId="0" fontId="2" fillId="0" borderId="20" xfId="0" applyFont="1" applyBorder="1"/>
    <xf numFmtId="0" fontId="2" fillId="0" borderId="25" xfId="0" applyFont="1" applyBorder="1"/>
    <xf numFmtId="0" fontId="24" fillId="0" borderId="35" xfId="0" applyFont="1" applyBorder="1" applyAlignment="1">
      <alignment horizontal="left" vertical="top"/>
    </xf>
    <xf numFmtId="0" fontId="24" fillId="0" borderId="36" xfId="0" applyFont="1" applyBorder="1" applyAlignment="1">
      <alignment horizontal="left" vertical="top"/>
    </xf>
    <xf numFmtId="0" fontId="25" fillId="2" borderId="36" xfId="0" applyFont="1" applyFill="1" applyBorder="1" applyAlignment="1">
      <alignment horizontal="left" vertical="top"/>
    </xf>
    <xf numFmtId="0" fontId="26" fillId="2" borderId="36" xfId="0" applyFont="1" applyFill="1" applyBorder="1" applyAlignment="1">
      <alignment horizontal="left" vertical="top"/>
    </xf>
    <xf numFmtId="0" fontId="2" fillId="0" borderId="27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10" borderId="16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3" fillId="20" borderId="16" xfId="0" applyFont="1" applyFill="1" applyBorder="1" applyAlignment="1">
      <alignment horizontal="left" vertical="center" wrapText="1"/>
    </xf>
    <xf numFmtId="0" fontId="3" fillId="0" borderId="20" xfId="0" applyFont="1" applyBorder="1" applyAlignment="1">
      <alignment vertical="center" wrapText="1"/>
    </xf>
    <xf numFmtId="0" fontId="2" fillId="0" borderId="25" xfId="0" applyFont="1" applyBorder="1" applyAlignment="1">
      <alignment horizontal="left" vertical="center" wrapText="1"/>
    </xf>
    <xf numFmtId="0" fontId="3" fillId="21" borderId="19" xfId="0" applyFont="1" applyFill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3" fillId="10" borderId="2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9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3" fillId="0" borderId="19" xfId="0" applyFont="1" applyBorder="1" applyAlignment="1">
      <alignment wrapText="1"/>
    </xf>
    <xf numFmtId="0" fontId="3" fillId="0" borderId="19" xfId="0" applyFont="1" applyBorder="1"/>
    <xf numFmtId="0" fontId="3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16" fillId="9" borderId="0" xfId="0" applyFont="1" applyFill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7" fillId="0" borderId="9" xfId="0" applyFont="1" applyBorder="1"/>
    <xf numFmtId="0" fontId="7" fillId="0" borderId="12" xfId="0" applyFont="1" applyBorder="1"/>
    <xf numFmtId="0" fontId="19" fillId="0" borderId="22" xfId="0" applyFont="1" applyBorder="1" applyAlignment="1">
      <alignment vertical="center" wrapText="1"/>
    </xf>
    <xf numFmtId="0" fontId="7" fillId="0" borderId="23" xfId="0" applyFont="1" applyBorder="1"/>
    <xf numFmtId="0" fontId="7" fillId="0" borderId="24" xfId="0" applyFont="1" applyBorder="1"/>
    <xf numFmtId="0" fontId="7" fillId="0" borderId="29" xfId="0" applyFont="1" applyBorder="1"/>
    <xf numFmtId="0" fontId="7" fillId="0" borderId="27" xfId="0" applyFont="1" applyBorder="1"/>
    <xf numFmtId="0" fontId="7" fillId="0" borderId="28" xfId="0" applyFont="1" applyBorder="1"/>
    <xf numFmtId="0" fontId="2" fillId="0" borderId="22" xfId="0" applyFont="1" applyBorder="1" applyAlignment="1">
      <alignment horizontal="center" vertical="center"/>
    </xf>
    <xf numFmtId="0" fontId="14" fillId="11" borderId="37" xfId="0" applyFont="1" applyFill="1" applyBorder="1" applyAlignment="1">
      <alignment horizontal="left" vertical="center"/>
    </xf>
    <xf numFmtId="0" fontId="7" fillId="0" borderId="21" xfId="0" applyFont="1" applyBorder="1"/>
    <xf numFmtId="0" fontId="7" fillId="0" borderId="26" xfId="0" applyFont="1" applyBorder="1"/>
    <xf numFmtId="0" fontId="2" fillId="0" borderId="16" xfId="0" applyFont="1" applyBorder="1" applyAlignment="1">
      <alignment vertical="center" wrapText="1"/>
    </xf>
    <xf numFmtId="0" fontId="7" fillId="0" borderId="17" xfId="0" applyFont="1" applyBorder="1"/>
    <xf numFmtId="0" fontId="7" fillId="0" borderId="18" xfId="0" applyFont="1" applyBorder="1"/>
    <xf numFmtId="0" fontId="27" fillId="17" borderId="6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3" xfId="0" applyFont="1" applyBorder="1"/>
    <xf numFmtId="0" fontId="7" fillId="0" borderId="15" xfId="0" applyFont="1" applyBorder="1"/>
    <xf numFmtId="0" fontId="2" fillId="0" borderId="6" xfId="0" applyFont="1" applyBorder="1" applyAlignment="1">
      <alignment horizontal="center" vertical="center"/>
    </xf>
    <xf numFmtId="0" fontId="14" fillId="16" borderId="37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 wrapText="1"/>
    </xf>
    <xf numFmtId="0" fontId="2" fillId="0" borderId="37" xfId="0" applyFont="1" applyBorder="1" applyAlignment="1">
      <alignment vertical="center"/>
    </xf>
    <xf numFmtId="0" fontId="3" fillId="21" borderId="37" xfId="0" applyFont="1" applyFill="1" applyBorder="1" applyAlignment="1">
      <alignment vertical="center" wrapText="1"/>
    </xf>
    <xf numFmtId="0" fontId="7" fillId="0" borderId="25" xfId="0" applyFont="1" applyBorder="1"/>
    <xf numFmtId="0" fontId="3" fillId="0" borderId="38" xfId="0" applyFont="1" applyBorder="1" applyAlignment="1">
      <alignment horizontal="center" vertical="center"/>
    </xf>
    <xf numFmtId="0" fontId="7" fillId="0" borderId="39" xfId="0" applyFont="1" applyBorder="1"/>
    <xf numFmtId="0" fontId="2" fillId="0" borderId="16" xfId="0" applyFont="1" applyBorder="1" applyAlignment="1">
      <alignment wrapText="1"/>
    </xf>
    <xf numFmtId="0" fontId="3" fillId="21" borderId="2" xfId="0" applyFont="1" applyFill="1" applyBorder="1" applyAlignment="1">
      <alignment wrapText="1"/>
    </xf>
    <xf numFmtId="0" fontId="7" fillId="0" borderId="4" xfId="0" applyFont="1" applyBorder="1"/>
    <xf numFmtId="0" fontId="3" fillId="0" borderId="16" xfId="0" applyFont="1" applyBorder="1" applyAlignment="1">
      <alignment horizontal="center" vertical="center" wrapText="1"/>
    </xf>
    <xf numFmtId="0" fontId="2" fillId="0" borderId="22" xfId="0" applyFont="1" applyBorder="1" applyAlignment="1">
      <alignment wrapText="1"/>
    </xf>
    <xf numFmtId="0" fontId="2" fillId="21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3" fillId="11" borderId="20" xfId="0" applyFont="1" applyFill="1" applyBorder="1" applyAlignment="1">
      <alignment horizontal="left" vertical="center" wrapText="1"/>
    </xf>
    <xf numFmtId="0" fontId="0" fillId="0" borderId="0" xfId="0"/>
    <xf numFmtId="0" fontId="1" fillId="11" borderId="16" xfId="0" applyFont="1" applyFill="1" applyBorder="1" applyAlignment="1">
      <alignment horizontal="left" vertical="center" wrapText="1"/>
    </xf>
    <xf numFmtId="0" fontId="2" fillId="11" borderId="16" xfId="0" applyFont="1" applyFill="1" applyBorder="1" applyAlignment="1">
      <alignment horizontal="left"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3" fillId="16" borderId="0" xfId="0" applyFont="1" applyFill="1" applyAlignment="1">
      <alignment vertical="center" wrapText="1"/>
    </xf>
    <xf numFmtId="0" fontId="2" fillId="16" borderId="16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20" borderId="37" xfId="0" applyFont="1" applyFill="1" applyBorder="1" applyAlignment="1">
      <alignment horizontal="left" vertical="center" wrapText="1"/>
    </xf>
    <xf numFmtId="0" fontId="19" fillId="0" borderId="16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0" borderId="24" xfId="0" applyFont="1" applyBorder="1" applyAlignment="1">
      <alignment vertical="center" wrapText="1"/>
    </xf>
    <xf numFmtId="0" fontId="19" fillId="0" borderId="29" xfId="0" applyFont="1" applyBorder="1" applyAlignment="1">
      <alignment vertical="center" wrapText="1"/>
    </xf>
    <xf numFmtId="0" fontId="19" fillId="0" borderId="27" xfId="0" applyFont="1" applyBorder="1" applyAlignment="1">
      <alignment vertical="center" wrapText="1"/>
    </xf>
    <xf numFmtId="0" fontId="19" fillId="0" borderId="28" xfId="0" applyFont="1" applyBorder="1" applyAlignment="1">
      <alignment vertical="center" wrapText="1"/>
    </xf>
    <xf numFmtId="0" fontId="3" fillId="20" borderId="2" xfId="0" applyFont="1" applyFill="1" applyBorder="1" applyAlignment="1">
      <alignment vertical="center" wrapText="1"/>
    </xf>
    <xf numFmtId="0" fontId="2" fillId="20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0" fillId="6" borderId="6" xfId="0" applyFont="1" applyFill="1" applyBorder="1" applyAlignment="1">
      <alignment vertical="center" wrapText="1"/>
    </xf>
    <xf numFmtId="0" fontId="7" fillId="0" borderId="7" xfId="0" applyFont="1" applyBorder="1"/>
    <xf numFmtId="0" fontId="7" fillId="0" borderId="14" xfId="0" applyFont="1" applyBorder="1"/>
    <xf numFmtId="0" fontId="11" fillId="7" borderId="6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2" fillId="11" borderId="20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wrapText="1"/>
    </xf>
    <xf numFmtId="0" fontId="3" fillId="11" borderId="20" xfId="0" applyFont="1" applyFill="1" applyBorder="1" applyAlignment="1">
      <alignment horizontal="left" vertical="top" wrapText="1"/>
    </xf>
    <xf numFmtId="0" fontId="19" fillId="11" borderId="20" xfId="0" applyFont="1" applyFill="1" applyBorder="1" applyAlignment="1">
      <alignment horizontal="left" vertical="top" wrapText="1"/>
    </xf>
    <xf numFmtId="0" fontId="20" fillId="11" borderId="20" xfId="0" applyFont="1" applyFill="1" applyBorder="1" applyAlignment="1">
      <alignment horizontal="left" vertical="top" wrapText="1"/>
    </xf>
    <xf numFmtId="0" fontId="3" fillId="0" borderId="0" xfId="0" applyFont="1"/>
    <xf numFmtId="0" fontId="2" fillId="12" borderId="16" xfId="0" applyFont="1" applyFill="1" applyBorder="1" applyAlignment="1">
      <alignment horizontal="left" vertical="center" wrapText="1"/>
    </xf>
    <xf numFmtId="0" fontId="2" fillId="13" borderId="16" xfId="0" applyFont="1" applyFill="1" applyBorder="1" applyAlignment="1">
      <alignment horizontal="left" vertical="center" wrapText="1"/>
    </xf>
    <xf numFmtId="0" fontId="2" fillId="14" borderId="16" xfId="0" applyFont="1" applyFill="1" applyBorder="1" applyAlignment="1">
      <alignment horizontal="left" vertical="center" wrapText="1"/>
    </xf>
    <xf numFmtId="0" fontId="2" fillId="15" borderId="16" xfId="0" applyFont="1" applyFill="1" applyBorder="1" applyAlignment="1">
      <alignment horizontal="left" vertical="center" wrapText="1"/>
    </xf>
    <xf numFmtId="0" fontId="1" fillId="11" borderId="20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horizontal="left"/>
    </xf>
    <xf numFmtId="0" fontId="3" fillId="11" borderId="22" xfId="0" applyFont="1" applyFill="1" applyBorder="1" applyAlignment="1">
      <alignment horizontal="left" vertical="top" wrapText="1"/>
    </xf>
    <xf numFmtId="0" fontId="18" fillId="2" borderId="0" xfId="0" applyFont="1" applyFill="1"/>
    <xf numFmtId="0" fontId="15" fillId="2" borderId="0" xfId="0" applyFont="1" applyFill="1" applyAlignment="1">
      <alignment horizontal="left"/>
    </xf>
    <xf numFmtId="0" fontId="3" fillId="16" borderId="20" xfId="0" applyFont="1" applyFill="1" applyBorder="1" applyAlignment="1">
      <alignment wrapText="1"/>
    </xf>
    <xf numFmtId="0" fontId="2" fillId="16" borderId="20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16" borderId="0" xfId="0" applyFont="1" applyFill="1" applyAlignment="1">
      <alignment horizontal="left" vertical="center" wrapText="1"/>
    </xf>
    <xf numFmtId="0" fontId="2" fillId="16" borderId="27" xfId="0" applyFont="1" applyFill="1" applyBorder="1" applyAlignment="1">
      <alignment horizontal="left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/>
    </xf>
    <xf numFmtId="0" fontId="2" fillId="0" borderId="0" xfId="0" applyFont="1"/>
    <xf numFmtId="0" fontId="2" fillId="0" borderId="20" xfId="0" applyFont="1" applyBorder="1"/>
    <xf numFmtId="0" fontId="2" fillId="0" borderId="29" xfId="0" applyFont="1" applyBorder="1"/>
    <xf numFmtId="0" fontId="3" fillId="0" borderId="20" xfId="0" applyFont="1" applyBorder="1"/>
    <xf numFmtId="0" fontId="27" fillId="12" borderId="6" xfId="0" applyFont="1" applyFill="1" applyBorder="1" applyAlignment="1">
      <alignment horizontal="center" vertical="center" wrapText="1"/>
    </xf>
    <xf numFmtId="0" fontId="28" fillId="0" borderId="8" xfId="0" applyFont="1" applyBorder="1"/>
    <xf numFmtId="0" fontId="28" fillId="0" borderId="10" xfId="0" applyFont="1" applyBorder="1"/>
    <xf numFmtId="0" fontId="28" fillId="0" borderId="11" xfId="0" applyFont="1" applyBorder="1"/>
    <xf numFmtId="0" fontId="28" fillId="0" borderId="13" xfId="0" applyFont="1" applyBorder="1"/>
    <xf numFmtId="0" fontId="28" fillId="0" borderId="15" xfId="0" applyFont="1" applyBorder="1"/>
    <xf numFmtId="0" fontId="29" fillId="13" borderId="6" xfId="0" applyFont="1" applyFill="1" applyBorder="1" applyAlignment="1">
      <alignment horizontal="center" vertical="center"/>
    </xf>
    <xf numFmtId="0" fontId="29" fillId="13" borderId="8" xfId="0" applyFont="1" applyFill="1" applyBorder="1" applyAlignment="1">
      <alignment horizontal="center" vertical="center"/>
    </xf>
    <xf numFmtId="0" fontId="29" fillId="13" borderId="10" xfId="0" applyFont="1" applyFill="1" applyBorder="1" applyAlignment="1">
      <alignment horizontal="center" vertical="center"/>
    </xf>
    <xf numFmtId="0" fontId="29" fillId="13" borderId="11" xfId="0" applyFont="1" applyFill="1" applyBorder="1" applyAlignment="1">
      <alignment horizontal="center" vertical="center"/>
    </xf>
    <xf numFmtId="0" fontId="29" fillId="13" borderId="13" xfId="0" applyFont="1" applyFill="1" applyBorder="1" applyAlignment="1">
      <alignment horizontal="center" vertical="center"/>
    </xf>
    <xf numFmtId="0" fontId="29" fillId="13" borderId="15" xfId="0" applyFont="1" applyFill="1" applyBorder="1" applyAlignment="1">
      <alignment horizontal="center" vertical="center"/>
    </xf>
    <xf numFmtId="0" fontId="27" fillId="14" borderId="22" xfId="0" applyFont="1" applyFill="1" applyBorder="1" applyAlignment="1">
      <alignment horizontal="center" vertical="center" wrapText="1"/>
    </xf>
    <xf numFmtId="0" fontId="28" fillId="0" borderId="24" xfId="0" applyFont="1" applyBorder="1"/>
    <xf numFmtId="0" fontId="28" fillId="0" borderId="29" xfId="0" applyFont="1" applyBorder="1"/>
    <xf numFmtId="0" fontId="28" fillId="0" borderId="28" xfId="0" applyFont="1" applyBorder="1"/>
    <xf numFmtId="0" fontId="29" fillId="13" borderId="22" xfId="0" applyFont="1" applyFill="1" applyBorder="1" applyAlignment="1">
      <alignment horizontal="center" vertical="center"/>
    </xf>
    <xf numFmtId="0" fontId="30" fillId="0" borderId="24" xfId="0" applyFont="1" applyBorder="1"/>
    <xf numFmtId="0" fontId="30" fillId="0" borderId="20" xfId="0" applyFont="1" applyBorder="1"/>
    <xf numFmtId="0" fontId="30" fillId="0" borderId="25" xfId="0" applyFont="1" applyBorder="1"/>
    <xf numFmtId="0" fontId="30" fillId="0" borderId="29" xfId="0" applyFont="1" applyBorder="1"/>
    <xf numFmtId="0" fontId="30" fillId="0" borderId="28" xfId="0" applyFont="1" applyBorder="1"/>
    <xf numFmtId="0" fontId="27" fillId="15" borderId="16" xfId="0" applyFont="1" applyFill="1" applyBorder="1" applyAlignment="1">
      <alignment horizontal="center" vertical="center" wrapText="1"/>
    </xf>
    <xf numFmtId="0" fontId="28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u/0/folders/1KzCudmw_28AdSA7y76tzupJO4SQwPIbw" TargetMode="External"/><Relationship Id="rId2" Type="http://schemas.openxmlformats.org/officeDocument/2006/relationships/hyperlink" Target="https://samp.itesm.mx/fd/Materias/Solicitudes" TargetMode="External"/><Relationship Id="rId1" Type="http://schemas.openxmlformats.org/officeDocument/2006/relationships/hyperlink" Target="https://datastudio.google.com/u/0/reporting/3da1806c-9c2a-4169-8553-e2c911767c7e/page/p_j314hgr6sc" TargetMode="External"/><Relationship Id="rId5" Type="http://schemas.openxmlformats.org/officeDocument/2006/relationships/hyperlink" Target="https://www.ibm.com/docs/es/spss-modeler/SaaS?topic=dm-crisp-help-overview" TargetMode="External"/><Relationship Id="rId4" Type="http://schemas.openxmlformats.org/officeDocument/2006/relationships/hyperlink" Target="https://drive.google.com/drive/folders/1E5UR5GxaTBv4rJEFek2c-nX5UuKn-J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8"/>
  <sheetViews>
    <sheetView topLeftCell="B27" workbookViewId="0"/>
  </sheetViews>
  <sheetFormatPr baseColWidth="10" defaultColWidth="12.6640625" defaultRowHeight="15.75" customHeight="1"/>
  <cols>
    <col min="1" max="1" width="6.1640625" customWidth="1"/>
    <col min="3" max="6" width="12.1640625" customWidth="1"/>
    <col min="7" max="7" width="13.6640625" customWidth="1"/>
    <col min="8" max="8" width="12.1640625" customWidth="1"/>
    <col min="9" max="9" width="13.1640625" customWidth="1"/>
    <col min="10" max="10" width="12.1640625" customWidth="1"/>
    <col min="11" max="11" width="17.5" customWidth="1"/>
    <col min="12" max="14" width="12.1640625" customWidth="1"/>
    <col min="15" max="15" width="14.1640625" customWidth="1"/>
    <col min="16" max="20" width="13.6640625" customWidth="1"/>
  </cols>
  <sheetData>
    <row r="1" spans="1:26" ht="13">
      <c r="C1" s="1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6" ht="13">
      <c r="C2" s="179" t="s">
        <v>0</v>
      </c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</row>
    <row r="3" spans="1:26" ht="16">
      <c r="B3" s="180" t="s">
        <v>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</row>
    <row r="4" spans="1:26" ht="70">
      <c r="B4" s="4"/>
      <c r="C4" s="181" t="s">
        <v>2</v>
      </c>
      <c r="D4" s="154"/>
      <c r="E4" s="154"/>
      <c r="F4" s="154"/>
      <c r="G4" s="150"/>
      <c r="H4" s="5" t="s">
        <v>3</v>
      </c>
      <c r="I4" s="4"/>
      <c r="J4" s="181" t="s">
        <v>4</v>
      </c>
      <c r="K4" s="154"/>
      <c r="L4" s="154"/>
      <c r="M4" s="154"/>
      <c r="N4" s="154"/>
      <c r="O4" s="154"/>
      <c r="P4" s="154"/>
      <c r="Q4" s="154"/>
      <c r="R4" s="150"/>
      <c r="S4" s="182" t="s">
        <v>5</v>
      </c>
      <c r="T4" s="156"/>
    </row>
    <row r="5" spans="1:26" ht="34">
      <c r="A5" s="6"/>
      <c r="B5" s="7" t="s">
        <v>6</v>
      </c>
      <c r="C5" s="8">
        <v>1</v>
      </c>
      <c r="D5" s="8">
        <v>2</v>
      </c>
      <c r="E5" s="8">
        <v>3</v>
      </c>
      <c r="F5" s="8">
        <v>4</v>
      </c>
      <c r="G5" s="8">
        <v>5</v>
      </c>
      <c r="H5" s="8" t="s">
        <v>7</v>
      </c>
      <c r="I5" s="7" t="s">
        <v>6</v>
      </c>
      <c r="J5" s="8">
        <v>1</v>
      </c>
      <c r="K5" s="8">
        <v>2</v>
      </c>
      <c r="L5" s="8">
        <v>3</v>
      </c>
      <c r="M5" s="8">
        <v>4</v>
      </c>
      <c r="N5" s="8">
        <v>5</v>
      </c>
      <c r="O5" s="8">
        <v>6</v>
      </c>
      <c r="P5" s="8">
        <v>7</v>
      </c>
      <c r="Q5" s="8">
        <v>8</v>
      </c>
      <c r="R5" s="8">
        <v>9</v>
      </c>
      <c r="S5" s="8">
        <v>1</v>
      </c>
      <c r="T5" s="8">
        <v>2</v>
      </c>
      <c r="U5" s="6"/>
      <c r="V5" s="6"/>
      <c r="W5" s="6"/>
      <c r="X5" s="6"/>
      <c r="Y5" s="6"/>
      <c r="Z5" s="6"/>
    </row>
    <row r="6" spans="1:26" ht="16">
      <c r="B6" s="190">
        <v>34</v>
      </c>
      <c r="C6" s="183" t="s">
        <v>8</v>
      </c>
      <c r="D6" s="184"/>
      <c r="E6" s="184"/>
      <c r="F6" s="184"/>
      <c r="G6" s="135"/>
      <c r="H6" s="189" t="s">
        <v>9</v>
      </c>
      <c r="I6" s="9">
        <v>18</v>
      </c>
      <c r="J6" s="188" t="s">
        <v>10</v>
      </c>
      <c r="K6" s="154"/>
      <c r="L6" s="154"/>
      <c r="M6" s="154"/>
      <c r="N6" s="154"/>
      <c r="O6" s="154"/>
      <c r="P6" s="154"/>
      <c r="Q6" s="154"/>
      <c r="R6" s="150"/>
      <c r="S6" s="186" t="s">
        <v>11</v>
      </c>
      <c r="T6" s="135"/>
    </row>
    <row r="7" spans="1:26" ht="13">
      <c r="B7" s="119"/>
      <c r="C7" s="136"/>
      <c r="D7" s="156"/>
      <c r="E7" s="156"/>
      <c r="F7" s="156"/>
      <c r="G7" s="137"/>
      <c r="H7" s="119"/>
      <c r="I7" s="190">
        <v>28</v>
      </c>
      <c r="J7" s="183" t="s">
        <v>12</v>
      </c>
      <c r="K7" s="184"/>
      <c r="L7" s="184"/>
      <c r="M7" s="184"/>
      <c r="N7" s="184"/>
      <c r="O7" s="184"/>
      <c r="P7" s="184"/>
      <c r="Q7" s="184"/>
      <c r="R7" s="135"/>
      <c r="S7" s="136"/>
      <c r="T7" s="137"/>
    </row>
    <row r="8" spans="1:26" ht="13">
      <c r="B8" s="120"/>
      <c r="C8" s="138"/>
      <c r="D8" s="185"/>
      <c r="E8" s="185"/>
      <c r="F8" s="185"/>
      <c r="G8" s="139"/>
      <c r="H8" s="119"/>
      <c r="I8" s="119"/>
      <c r="J8" s="136"/>
      <c r="K8" s="156"/>
      <c r="L8" s="156"/>
      <c r="M8" s="156"/>
      <c r="N8" s="156"/>
      <c r="O8" s="156"/>
      <c r="P8" s="156"/>
      <c r="Q8" s="156"/>
      <c r="R8" s="137"/>
      <c r="S8" s="136"/>
      <c r="T8" s="137"/>
    </row>
    <row r="9" spans="1:26" ht="13">
      <c r="B9" s="190">
        <v>32</v>
      </c>
      <c r="C9" s="183" t="s">
        <v>13</v>
      </c>
      <c r="D9" s="184"/>
      <c r="E9" s="184"/>
      <c r="F9" s="184"/>
      <c r="G9" s="135"/>
      <c r="H9" s="119"/>
      <c r="I9" s="119"/>
      <c r="J9" s="136"/>
      <c r="K9" s="156"/>
      <c r="L9" s="156"/>
      <c r="M9" s="156"/>
      <c r="N9" s="156"/>
      <c r="O9" s="156"/>
      <c r="P9" s="156"/>
      <c r="Q9" s="156"/>
      <c r="R9" s="137"/>
      <c r="S9" s="136"/>
      <c r="T9" s="137"/>
    </row>
    <row r="10" spans="1:26" ht="13">
      <c r="B10" s="119"/>
      <c r="C10" s="136"/>
      <c r="D10" s="156"/>
      <c r="E10" s="156"/>
      <c r="F10" s="156"/>
      <c r="G10" s="137"/>
      <c r="H10" s="119"/>
      <c r="I10" s="120"/>
      <c r="J10" s="138"/>
      <c r="K10" s="185"/>
      <c r="L10" s="185"/>
      <c r="M10" s="185"/>
      <c r="N10" s="185"/>
      <c r="O10" s="185"/>
      <c r="P10" s="185"/>
      <c r="Q10" s="185"/>
      <c r="R10" s="139"/>
      <c r="S10" s="136"/>
      <c r="T10" s="137"/>
    </row>
    <row r="11" spans="1:26" ht="33.75" customHeight="1">
      <c r="B11" s="120"/>
      <c r="C11" s="138"/>
      <c r="D11" s="185"/>
      <c r="E11" s="185"/>
      <c r="F11" s="185"/>
      <c r="G11" s="139"/>
      <c r="H11" s="119"/>
      <c r="I11" s="9">
        <v>18</v>
      </c>
      <c r="J11" s="188" t="s">
        <v>14</v>
      </c>
      <c r="K11" s="154"/>
      <c r="L11" s="154"/>
      <c r="M11" s="154"/>
      <c r="N11" s="154"/>
      <c r="O11" s="154"/>
      <c r="P11" s="154"/>
      <c r="Q11" s="154"/>
      <c r="R11" s="150"/>
      <c r="S11" s="136"/>
      <c r="T11" s="137"/>
    </row>
    <row r="12" spans="1:26" ht="16">
      <c r="B12" s="9">
        <v>20</v>
      </c>
      <c r="C12" s="188" t="s">
        <v>15</v>
      </c>
      <c r="D12" s="154"/>
      <c r="E12" s="154"/>
      <c r="F12" s="154"/>
      <c r="G12" s="150"/>
      <c r="H12" s="119"/>
      <c r="I12" s="9">
        <v>18</v>
      </c>
      <c r="J12" s="188" t="s">
        <v>16</v>
      </c>
      <c r="K12" s="154"/>
      <c r="L12" s="154"/>
      <c r="M12" s="154"/>
      <c r="N12" s="154"/>
      <c r="O12" s="154"/>
      <c r="P12" s="154"/>
      <c r="Q12" s="154"/>
      <c r="R12" s="150"/>
      <c r="S12" s="136"/>
      <c r="T12" s="137"/>
    </row>
    <row r="13" spans="1:26" ht="16">
      <c r="B13" s="9">
        <v>14</v>
      </c>
      <c r="C13" s="188" t="s">
        <v>17</v>
      </c>
      <c r="D13" s="154"/>
      <c r="E13" s="154"/>
      <c r="F13" s="154"/>
      <c r="G13" s="150"/>
      <c r="H13" s="119"/>
      <c r="I13" s="9">
        <v>18</v>
      </c>
      <c r="J13" s="188" t="s">
        <v>18</v>
      </c>
      <c r="K13" s="154"/>
      <c r="L13" s="154"/>
      <c r="M13" s="154"/>
      <c r="N13" s="154"/>
      <c r="O13" s="154"/>
      <c r="P13" s="154"/>
      <c r="Q13" s="154"/>
      <c r="R13" s="150"/>
      <c r="S13" s="136"/>
      <c r="T13" s="137"/>
    </row>
    <row r="14" spans="1:26" ht="16">
      <c r="B14" s="9">
        <v>40</v>
      </c>
      <c r="C14" s="187" t="s">
        <v>19</v>
      </c>
      <c r="D14" s="154"/>
      <c r="E14" s="154"/>
      <c r="F14" s="154"/>
      <c r="G14" s="150"/>
      <c r="H14" s="120"/>
      <c r="I14" s="9">
        <v>160</v>
      </c>
      <c r="J14" s="187" t="s">
        <v>20</v>
      </c>
      <c r="K14" s="154"/>
      <c r="L14" s="154"/>
      <c r="M14" s="154"/>
      <c r="N14" s="154"/>
      <c r="O14" s="154"/>
      <c r="P14" s="154"/>
      <c r="Q14" s="154"/>
      <c r="R14" s="150"/>
      <c r="S14" s="138"/>
      <c r="T14" s="139"/>
    </row>
    <row r="15" spans="1:26" ht="13">
      <c r="B15" s="195" t="s">
        <v>21</v>
      </c>
      <c r="C15" s="192" t="s">
        <v>22</v>
      </c>
      <c r="D15" s="154"/>
      <c r="E15" s="154"/>
      <c r="F15" s="154"/>
      <c r="G15" s="154"/>
      <c r="H15" s="150"/>
      <c r="I15" s="195" t="s">
        <v>21</v>
      </c>
      <c r="J15" s="192" t="s">
        <v>23</v>
      </c>
      <c r="K15" s="154"/>
      <c r="L15" s="154"/>
      <c r="M15" s="154"/>
      <c r="N15" s="154"/>
      <c r="O15" s="154"/>
      <c r="P15" s="154"/>
      <c r="Q15" s="154"/>
      <c r="R15" s="154"/>
      <c r="S15" s="154"/>
      <c r="T15" s="150"/>
    </row>
    <row r="16" spans="1:26" ht="13">
      <c r="B16" s="120"/>
      <c r="C16" s="193" t="s">
        <v>24</v>
      </c>
      <c r="D16" s="154"/>
      <c r="E16" s="154"/>
      <c r="F16" s="154"/>
      <c r="G16" s="154"/>
      <c r="H16" s="150"/>
      <c r="I16" s="120"/>
      <c r="J16" s="193" t="s">
        <v>25</v>
      </c>
      <c r="K16" s="154"/>
      <c r="L16" s="154"/>
      <c r="M16" s="154"/>
      <c r="N16" s="154"/>
      <c r="O16" s="154"/>
      <c r="P16" s="154"/>
      <c r="Q16" s="154"/>
      <c r="R16" s="154"/>
      <c r="S16" s="154"/>
      <c r="T16" s="150"/>
    </row>
    <row r="17" spans="1:26" ht="13">
      <c r="C17" s="2"/>
      <c r="E17" s="6"/>
    </row>
    <row r="18" spans="1:26" ht="28">
      <c r="A18" s="6"/>
      <c r="B18" s="10" t="s">
        <v>26</v>
      </c>
      <c r="C18" s="11">
        <v>24</v>
      </c>
      <c r="D18" s="11">
        <v>24</v>
      </c>
      <c r="E18" s="11">
        <v>24</v>
      </c>
      <c r="F18" s="11">
        <v>24</v>
      </c>
      <c r="G18" s="11">
        <v>24</v>
      </c>
      <c r="H18" s="12">
        <v>20</v>
      </c>
      <c r="I18" s="10" t="s">
        <v>26</v>
      </c>
      <c r="J18" s="13">
        <v>24</v>
      </c>
      <c r="K18" s="11">
        <v>24</v>
      </c>
      <c r="L18" s="11">
        <v>24</v>
      </c>
      <c r="M18" s="11">
        <v>24</v>
      </c>
      <c r="N18" s="11">
        <v>24</v>
      </c>
      <c r="O18" s="11">
        <v>24</v>
      </c>
      <c r="P18" s="11">
        <v>24</v>
      </c>
      <c r="Q18" s="11">
        <v>24</v>
      </c>
      <c r="R18" s="11">
        <v>24</v>
      </c>
      <c r="S18" s="11">
        <v>24</v>
      </c>
      <c r="T18" s="12">
        <v>20</v>
      </c>
      <c r="U18" s="6"/>
      <c r="V18" s="6"/>
      <c r="W18" s="6"/>
      <c r="X18" s="6"/>
      <c r="Y18" s="6"/>
      <c r="Z18" s="6"/>
    </row>
    <row r="19" spans="1:26" ht="28">
      <c r="A19" s="6"/>
      <c r="B19" s="14" t="s">
        <v>27</v>
      </c>
      <c r="C19" s="198">
        <f>SUM(C18:H18)</f>
        <v>140</v>
      </c>
      <c r="D19" s="185"/>
      <c r="E19" s="185"/>
      <c r="F19" s="185"/>
      <c r="G19" s="185"/>
      <c r="H19" s="139"/>
      <c r="I19" s="14" t="s">
        <v>27</v>
      </c>
      <c r="J19" s="194">
        <f>SUM(J18:T18)</f>
        <v>260</v>
      </c>
      <c r="K19" s="185"/>
      <c r="L19" s="185"/>
      <c r="M19" s="185"/>
      <c r="N19" s="185"/>
      <c r="O19" s="185"/>
      <c r="P19" s="185"/>
      <c r="Q19" s="185"/>
      <c r="R19" s="185"/>
      <c r="S19" s="185"/>
      <c r="T19" s="139"/>
      <c r="U19" s="6"/>
      <c r="V19" s="6"/>
      <c r="W19" s="6"/>
      <c r="X19" s="6"/>
      <c r="Y19" s="6"/>
      <c r="Z19" s="6"/>
    </row>
    <row r="20" spans="1:26" ht="13">
      <c r="B20" s="15"/>
      <c r="C20" s="15"/>
      <c r="D20" s="15"/>
      <c r="E20" s="16"/>
      <c r="F20" s="15"/>
      <c r="G20" s="15"/>
      <c r="H20" s="15"/>
      <c r="I20" s="17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6" ht="28">
      <c r="A21" s="18"/>
      <c r="B21" s="203" t="s">
        <v>28</v>
      </c>
      <c r="C21" s="156"/>
      <c r="D21" s="156"/>
      <c r="E21" s="156"/>
      <c r="F21" s="18"/>
      <c r="G21" s="18"/>
      <c r="H21" s="18"/>
      <c r="I21" s="19" t="s">
        <v>29</v>
      </c>
      <c r="J21" s="199" t="s">
        <v>30</v>
      </c>
      <c r="K21" s="132"/>
      <c r="L21" s="132"/>
      <c r="M21" s="132"/>
      <c r="N21" s="133"/>
      <c r="O21" s="20" t="s">
        <v>31</v>
      </c>
      <c r="P21" s="199" t="s">
        <v>32</v>
      </c>
      <c r="Q21" s="132"/>
      <c r="R21" s="132"/>
      <c r="S21" s="132"/>
      <c r="T21" s="133"/>
    </row>
    <row r="22" spans="1:26" ht="13">
      <c r="A22" s="18"/>
      <c r="B22" s="21" t="s">
        <v>33</v>
      </c>
      <c r="C22" s="2"/>
      <c r="E22" s="6"/>
      <c r="F22" s="18"/>
      <c r="G22" s="18"/>
      <c r="I22" s="22"/>
      <c r="J22" s="200" t="s">
        <v>34</v>
      </c>
      <c r="K22" s="156"/>
      <c r="L22" s="156"/>
      <c r="M22" s="156"/>
      <c r="N22" s="156"/>
      <c r="O22" s="23"/>
      <c r="P22" s="210" t="s">
        <v>34</v>
      </c>
      <c r="Q22" s="122"/>
      <c r="R22" s="122"/>
      <c r="S22" s="122"/>
      <c r="T22" s="123"/>
      <c r="U22" s="156"/>
      <c r="V22" s="156"/>
      <c r="W22" s="156"/>
    </row>
    <row r="23" spans="1:26" ht="42">
      <c r="A23" s="18"/>
      <c r="B23" s="24" t="s">
        <v>35</v>
      </c>
      <c r="C23" s="25" t="s">
        <v>36</v>
      </c>
      <c r="D23" s="26"/>
      <c r="E23" s="27" t="s">
        <v>37</v>
      </c>
      <c r="F23" s="18"/>
      <c r="G23" s="18"/>
      <c r="H23" s="28"/>
      <c r="I23" s="29" t="s">
        <v>38</v>
      </c>
      <c r="J23" s="208" t="s">
        <v>39</v>
      </c>
      <c r="K23" s="156"/>
      <c r="L23" s="156"/>
      <c r="M23" s="156"/>
      <c r="N23" s="156"/>
      <c r="O23" s="30" t="s">
        <v>38</v>
      </c>
      <c r="P23" s="208" t="s">
        <v>40</v>
      </c>
      <c r="Q23" s="156"/>
      <c r="R23" s="156"/>
      <c r="S23" s="156"/>
      <c r="T23" s="145"/>
      <c r="U23" s="209"/>
      <c r="V23" s="156"/>
      <c r="W23" s="156"/>
    </row>
    <row r="24" spans="1:26" ht="28">
      <c r="A24" s="18"/>
      <c r="B24" s="31" t="s">
        <v>41</v>
      </c>
      <c r="C24" s="204" t="s">
        <v>42</v>
      </c>
      <c r="D24" s="133"/>
      <c r="E24" s="32">
        <v>34</v>
      </c>
      <c r="F24" s="18"/>
      <c r="G24" s="18"/>
      <c r="I24" s="33"/>
      <c r="J24" s="22"/>
      <c r="K24" s="34"/>
      <c r="L24" s="34"/>
      <c r="M24" s="34"/>
      <c r="N24" s="34"/>
      <c r="O24" s="30" t="s">
        <v>38</v>
      </c>
      <c r="P24" s="197" t="s">
        <v>43</v>
      </c>
      <c r="Q24" s="156"/>
      <c r="R24" s="156"/>
      <c r="S24" s="156"/>
      <c r="T24" s="145"/>
      <c r="U24" s="156"/>
      <c r="V24" s="156"/>
      <c r="W24" s="156"/>
    </row>
    <row r="25" spans="1:26" ht="13">
      <c r="A25" s="18"/>
      <c r="B25" s="31" t="s">
        <v>44</v>
      </c>
      <c r="C25" s="205" t="s">
        <v>45</v>
      </c>
      <c r="D25" s="133"/>
      <c r="E25" s="35">
        <v>32</v>
      </c>
      <c r="F25" s="18"/>
      <c r="G25" s="18"/>
      <c r="I25" s="33"/>
      <c r="J25" s="22"/>
      <c r="K25" s="34"/>
      <c r="L25" s="34"/>
      <c r="M25" s="34"/>
      <c r="N25" s="34"/>
      <c r="O25" s="23"/>
      <c r="P25" s="33"/>
      <c r="Q25" s="2"/>
      <c r="R25" s="2"/>
      <c r="S25" s="2"/>
      <c r="T25" s="36"/>
      <c r="U25" s="156"/>
      <c r="V25" s="156"/>
      <c r="W25" s="156"/>
    </row>
    <row r="26" spans="1:26" ht="14">
      <c r="A26" s="18"/>
      <c r="B26" s="31" t="s">
        <v>46</v>
      </c>
      <c r="C26" s="206" t="s">
        <v>47</v>
      </c>
      <c r="D26" s="133"/>
      <c r="E26" s="37">
        <v>20</v>
      </c>
      <c r="F26" s="18"/>
      <c r="G26" s="18"/>
      <c r="H26" s="28"/>
      <c r="I26" s="33"/>
      <c r="J26" s="200" t="s">
        <v>48</v>
      </c>
      <c r="K26" s="156"/>
      <c r="L26" s="156"/>
      <c r="M26" s="156"/>
      <c r="N26" s="156"/>
      <c r="O26" s="38"/>
      <c r="P26" s="200" t="s">
        <v>48</v>
      </c>
      <c r="Q26" s="156"/>
      <c r="R26" s="156"/>
      <c r="S26" s="156"/>
      <c r="T26" s="145"/>
      <c r="U26" s="156"/>
      <c r="V26" s="156"/>
      <c r="W26" s="156"/>
    </row>
    <row r="27" spans="1:26" ht="42">
      <c r="A27" s="18"/>
      <c r="B27" s="31" t="s">
        <v>49</v>
      </c>
      <c r="C27" s="207" t="s">
        <v>50</v>
      </c>
      <c r="D27" s="133"/>
      <c r="E27" s="39">
        <v>14</v>
      </c>
      <c r="F27" s="18"/>
      <c r="G27" s="18"/>
      <c r="H27" s="40"/>
      <c r="I27" s="29" t="s">
        <v>38</v>
      </c>
      <c r="J27" s="201" t="s">
        <v>51</v>
      </c>
      <c r="K27" s="156"/>
      <c r="L27" s="156"/>
      <c r="M27" s="156"/>
      <c r="N27" s="156"/>
      <c r="O27" s="30" t="s">
        <v>38</v>
      </c>
      <c r="P27" s="197" t="s">
        <v>52</v>
      </c>
      <c r="Q27" s="156"/>
      <c r="R27" s="156"/>
      <c r="S27" s="156"/>
      <c r="T27" s="145"/>
      <c r="U27" s="211"/>
      <c r="V27" s="156"/>
      <c r="W27" s="156"/>
    </row>
    <row r="28" spans="1:26" ht="28">
      <c r="A28" s="18"/>
      <c r="B28" s="191" t="s">
        <v>53</v>
      </c>
      <c r="C28" s="132"/>
      <c r="D28" s="133"/>
      <c r="E28" s="41">
        <v>40</v>
      </c>
      <c r="F28" s="18"/>
      <c r="G28" s="18"/>
      <c r="H28" s="18"/>
      <c r="I28" s="33" t="s">
        <v>54</v>
      </c>
      <c r="J28" s="202" t="s">
        <v>55</v>
      </c>
      <c r="K28" s="156"/>
      <c r="L28" s="156"/>
      <c r="M28" s="156"/>
      <c r="N28" s="156"/>
      <c r="O28" s="42" t="s">
        <v>54</v>
      </c>
      <c r="P28" s="197" t="s">
        <v>56</v>
      </c>
      <c r="Q28" s="156"/>
      <c r="R28" s="156"/>
      <c r="S28" s="156"/>
      <c r="T28" s="145"/>
      <c r="U28" s="212"/>
      <c r="V28" s="156"/>
      <c r="W28" s="156"/>
    </row>
    <row r="29" spans="1:26" ht="29">
      <c r="A29" s="18"/>
      <c r="B29" s="196" t="s">
        <v>57</v>
      </c>
      <c r="C29" s="132"/>
      <c r="D29" s="133"/>
      <c r="E29" s="41">
        <f>SUM(E23:E28)</f>
        <v>140</v>
      </c>
      <c r="F29" s="18"/>
      <c r="G29" s="18"/>
      <c r="H29" s="18"/>
      <c r="I29" s="33" t="s">
        <v>54</v>
      </c>
      <c r="J29" s="197" t="s">
        <v>58</v>
      </c>
      <c r="K29" s="156"/>
      <c r="L29" s="156"/>
      <c r="M29" s="156"/>
      <c r="N29" s="156"/>
      <c r="O29" s="38"/>
      <c r="P29" s="33"/>
      <c r="Q29" s="2"/>
      <c r="R29" s="2"/>
      <c r="S29" s="2"/>
      <c r="T29" s="36"/>
      <c r="U29" s="209"/>
      <c r="V29" s="156"/>
      <c r="W29" s="156"/>
    </row>
    <row r="30" spans="1:26" ht="13">
      <c r="A30" s="18"/>
      <c r="E30" s="6"/>
      <c r="F30" s="18"/>
      <c r="G30" s="18"/>
      <c r="H30" s="18"/>
      <c r="I30" s="33"/>
      <c r="J30" s="33"/>
      <c r="K30" s="2"/>
      <c r="L30" s="2"/>
      <c r="M30" s="2"/>
      <c r="N30" s="2"/>
      <c r="O30" s="38"/>
      <c r="P30" s="213" t="s">
        <v>59</v>
      </c>
      <c r="Q30" s="156"/>
      <c r="R30" s="156"/>
      <c r="S30" s="156"/>
      <c r="T30" s="145"/>
    </row>
    <row r="31" spans="1:26" ht="28">
      <c r="A31" s="43"/>
      <c r="B31" s="44" t="s">
        <v>60</v>
      </c>
      <c r="C31" s="44"/>
      <c r="D31" s="44"/>
      <c r="E31" s="44"/>
      <c r="F31" s="43"/>
      <c r="G31" s="43"/>
      <c r="H31" s="43"/>
      <c r="I31" s="45"/>
      <c r="J31" s="216" t="s">
        <v>59</v>
      </c>
      <c r="K31" s="156"/>
      <c r="L31" s="156"/>
      <c r="M31" s="156"/>
      <c r="N31" s="145"/>
      <c r="O31" s="46" t="s">
        <v>54</v>
      </c>
      <c r="P31" s="214" t="s">
        <v>61</v>
      </c>
      <c r="Q31" s="156"/>
      <c r="R31" s="156"/>
      <c r="S31" s="156"/>
      <c r="T31" s="145"/>
      <c r="U31" s="44"/>
      <c r="V31" s="44"/>
      <c r="W31" s="44"/>
      <c r="X31" s="44"/>
      <c r="Y31" s="44"/>
      <c r="Z31" s="44"/>
    </row>
    <row r="32" spans="1:26" ht="28">
      <c r="A32" s="43"/>
      <c r="B32" s="47" t="s">
        <v>35</v>
      </c>
      <c r="C32" s="48" t="s">
        <v>36</v>
      </c>
      <c r="D32" s="49"/>
      <c r="E32" s="50" t="s">
        <v>37</v>
      </c>
      <c r="F32" s="43"/>
      <c r="G32" s="43"/>
      <c r="H32" s="43"/>
      <c r="I32" s="51" t="s">
        <v>54</v>
      </c>
      <c r="J32" s="217" t="s">
        <v>62</v>
      </c>
      <c r="K32" s="125"/>
      <c r="L32" s="125"/>
      <c r="M32" s="125"/>
      <c r="N32" s="126"/>
      <c r="O32" s="51"/>
      <c r="P32" s="124"/>
      <c r="Q32" s="125"/>
      <c r="R32" s="125"/>
      <c r="S32" s="125"/>
      <c r="T32" s="126"/>
      <c r="U32" s="44"/>
      <c r="V32" s="44"/>
      <c r="W32" s="44"/>
      <c r="X32" s="44"/>
      <c r="Y32" s="44"/>
      <c r="Z32" s="44"/>
    </row>
    <row r="33" spans="1:22" ht="13">
      <c r="A33" s="18"/>
      <c r="B33" s="31" t="s">
        <v>41</v>
      </c>
      <c r="C33" s="218" t="s">
        <v>63</v>
      </c>
      <c r="D33" s="150"/>
      <c r="E33" s="52">
        <v>18</v>
      </c>
      <c r="F33" s="18"/>
      <c r="G33" s="18"/>
      <c r="H33" s="18"/>
    </row>
    <row r="34" spans="1:22" ht="13">
      <c r="B34" s="31" t="s">
        <v>44</v>
      </c>
      <c r="C34" s="219" t="s">
        <v>64</v>
      </c>
      <c r="D34" s="150"/>
      <c r="E34" s="53">
        <v>28</v>
      </c>
    </row>
    <row r="35" spans="1:22" ht="13">
      <c r="B35" s="31" t="s">
        <v>46</v>
      </c>
      <c r="C35" s="220" t="s">
        <v>65</v>
      </c>
      <c r="D35" s="150"/>
      <c r="E35" s="54">
        <v>18</v>
      </c>
    </row>
    <row r="36" spans="1:22" ht="13">
      <c r="B36" s="31" t="s">
        <v>49</v>
      </c>
      <c r="C36" s="221" t="s">
        <v>66</v>
      </c>
      <c r="D36" s="150"/>
      <c r="E36" s="55">
        <v>18</v>
      </c>
    </row>
    <row r="37" spans="1:22" ht="13">
      <c r="B37" s="31" t="s">
        <v>67</v>
      </c>
      <c r="C37" s="222" t="s">
        <v>68</v>
      </c>
      <c r="D37" s="150"/>
      <c r="E37" s="56">
        <v>18</v>
      </c>
      <c r="F37" s="57"/>
      <c r="U37" s="215"/>
      <c r="V37" s="156"/>
    </row>
    <row r="38" spans="1:22" ht="25.5" customHeight="1">
      <c r="B38" s="191" t="s">
        <v>53</v>
      </c>
      <c r="C38" s="132"/>
      <c r="D38" s="133"/>
      <c r="E38" s="41">
        <v>160</v>
      </c>
      <c r="F38" s="57"/>
      <c r="J38" s="15" t="s">
        <v>69</v>
      </c>
    </row>
    <row r="39" spans="1:22" ht="13">
      <c r="B39" s="223" t="s">
        <v>70</v>
      </c>
      <c r="C39" s="125"/>
      <c r="D39" s="126"/>
      <c r="E39" s="58">
        <f>SUM(E32:E38)</f>
        <v>260</v>
      </c>
      <c r="J39" s="59" t="s">
        <v>71</v>
      </c>
    </row>
    <row r="40" spans="1:22" ht="13">
      <c r="E40" s="6"/>
    </row>
    <row r="41" spans="1:22" ht="13">
      <c r="E41" s="6"/>
    </row>
    <row r="42" spans="1:22" ht="13">
      <c r="B42" s="21" t="s">
        <v>72</v>
      </c>
      <c r="E42" s="6"/>
      <c r="J42" s="21" t="s">
        <v>73</v>
      </c>
    </row>
    <row r="43" spans="1:22" ht="13">
      <c r="B43" s="60" t="s">
        <v>74</v>
      </c>
      <c r="C43" s="21" t="s">
        <v>75</v>
      </c>
      <c r="E43" s="6"/>
      <c r="J43" s="60" t="s">
        <v>76</v>
      </c>
    </row>
    <row r="44" spans="1:22" ht="13">
      <c r="B44" s="21" t="s">
        <v>77</v>
      </c>
      <c r="E44" s="6"/>
    </row>
    <row r="45" spans="1:22" ht="14">
      <c r="B45" s="60" t="s">
        <v>78</v>
      </c>
      <c r="E45" s="6"/>
      <c r="J45" s="61" t="s">
        <v>79</v>
      </c>
    </row>
    <row r="46" spans="1:22" ht="13">
      <c r="E46" s="6"/>
      <c r="J46" s="59" t="s">
        <v>80</v>
      </c>
      <c r="L46" s="224"/>
      <c r="M46" s="156"/>
      <c r="N46" s="156"/>
      <c r="O46" s="156"/>
      <c r="P46" s="156"/>
      <c r="Q46" s="156"/>
      <c r="R46" s="156"/>
    </row>
    <row r="47" spans="1:22" ht="13">
      <c r="E47" s="6"/>
      <c r="L47" s="224"/>
      <c r="M47" s="156"/>
      <c r="N47" s="156"/>
      <c r="O47" s="156"/>
      <c r="P47" s="156"/>
      <c r="Q47" s="156"/>
      <c r="R47" s="156"/>
    </row>
    <row r="48" spans="1:22" ht="13">
      <c r="E48" s="6"/>
      <c r="J48" s="21" t="s">
        <v>81</v>
      </c>
      <c r="L48" s="224"/>
      <c r="M48" s="156"/>
      <c r="N48" s="156"/>
      <c r="O48" s="156"/>
      <c r="P48" s="156"/>
      <c r="Q48" s="156"/>
      <c r="R48" s="156"/>
    </row>
    <row r="49" spans="2:20" ht="13">
      <c r="B49" s="62" t="s">
        <v>82</v>
      </c>
      <c r="C49" s="63"/>
      <c r="D49" s="63"/>
      <c r="E49" s="64"/>
      <c r="F49" s="63"/>
      <c r="G49" s="63"/>
      <c r="H49" s="65"/>
      <c r="J49" s="66" t="s">
        <v>83</v>
      </c>
      <c r="K49" s="67" t="s">
        <v>84</v>
      </c>
      <c r="L49" s="67" t="s">
        <v>85</v>
      </c>
      <c r="M49" s="67" t="s">
        <v>86</v>
      </c>
      <c r="N49" s="67" t="s">
        <v>87</v>
      </c>
      <c r="O49" s="67" t="s">
        <v>88</v>
      </c>
      <c r="P49" s="67" t="s">
        <v>89</v>
      </c>
      <c r="Q49" s="67" t="s">
        <v>90</v>
      </c>
      <c r="R49" s="68" t="s">
        <v>91</v>
      </c>
      <c r="S49" s="67" t="s">
        <v>92</v>
      </c>
      <c r="T49" s="69"/>
    </row>
    <row r="50" spans="2:20" ht="13">
      <c r="B50" s="225" t="s">
        <v>93</v>
      </c>
      <c r="C50" s="156"/>
      <c r="D50" s="156"/>
      <c r="E50" s="156"/>
      <c r="F50" s="156"/>
      <c r="G50" s="156"/>
      <c r="H50" s="145"/>
      <c r="J50" s="70">
        <v>9780393347777</v>
      </c>
      <c r="K50" s="71" t="s">
        <v>94</v>
      </c>
      <c r="L50" s="71" t="s">
        <v>95</v>
      </c>
      <c r="M50" s="71" t="s">
        <v>96</v>
      </c>
      <c r="N50" s="71" t="s">
        <v>97</v>
      </c>
      <c r="O50" s="71" t="s">
        <v>98</v>
      </c>
      <c r="P50" s="71">
        <v>2013</v>
      </c>
      <c r="Q50" s="71" t="s">
        <v>99</v>
      </c>
      <c r="R50" s="71" t="s">
        <v>100</v>
      </c>
      <c r="S50" s="71" t="s">
        <v>101</v>
      </c>
      <c r="T50" s="72"/>
    </row>
    <row r="51" spans="2:20" ht="13">
      <c r="B51" s="225" t="s">
        <v>102</v>
      </c>
      <c r="C51" s="156"/>
      <c r="D51" s="156"/>
      <c r="E51" s="156"/>
      <c r="F51" s="156"/>
      <c r="G51" s="156"/>
      <c r="H51" s="145"/>
      <c r="J51" s="73">
        <v>1292153962</v>
      </c>
      <c r="K51" s="74" t="s">
        <v>103</v>
      </c>
      <c r="L51" s="74" t="s">
        <v>104</v>
      </c>
      <c r="M51" s="74" t="s">
        <v>105</v>
      </c>
      <c r="N51" s="74" t="s">
        <v>106</v>
      </c>
      <c r="O51" s="74" t="s">
        <v>107</v>
      </c>
      <c r="P51" s="74">
        <v>2016</v>
      </c>
      <c r="Q51" s="74" t="s">
        <v>99</v>
      </c>
      <c r="R51" s="74" t="s">
        <v>100</v>
      </c>
      <c r="S51" s="74" t="s">
        <v>101</v>
      </c>
      <c r="T51" s="75"/>
    </row>
    <row r="52" spans="2:20" ht="13">
      <c r="B52" s="226" t="s">
        <v>108</v>
      </c>
      <c r="C52" s="125"/>
      <c r="D52" s="125"/>
      <c r="E52" s="125"/>
      <c r="F52" s="125"/>
      <c r="G52" s="125"/>
      <c r="H52" s="126"/>
      <c r="J52" s="76">
        <v>9781544385402</v>
      </c>
      <c r="K52" s="77" t="s">
        <v>109</v>
      </c>
      <c r="L52" s="77" t="s">
        <v>110</v>
      </c>
      <c r="M52" s="77"/>
      <c r="N52" s="77"/>
      <c r="O52" s="77"/>
      <c r="P52" s="77"/>
      <c r="Q52" s="77" t="s">
        <v>111</v>
      </c>
      <c r="R52" s="77" t="s">
        <v>100</v>
      </c>
      <c r="S52" s="77" t="s">
        <v>112</v>
      </c>
      <c r="T52" s="78"/>
    </row>
    <row r="53" spans="2:20" ht="13">
      <c r="B53" s="79"/>
      <c r="E53" s="6"/>
      <c r="H53" s="80"/>
      <c r="J53" s="73">
        <v>1449369898</v>
      </c>
      <c r="K53" s="74" t="s">
        <v>113</v>
      </c>
      <c r="L53" s="74" t="s">
        <v>114</v>
      </c>
      <c r="M53" s="74" t="s">
        <v>115</v>
      </c>
      <c r="N53" s="74" t="s">
        <v>116</v>
      </c>
      <c r="O53" s="74" t="s">
        <v>117</v>
      </c>
      <c r="P53" s="74" t="s">
        <v>118</v>
      </c>
      <c r="Q53" s="74" t="s">
        <v>111</v>
      </c>
      <c r="R53" s="74" t="s">
        <v>100</v>
      </c>
      <c r="S53" s="74" t="s">
        <v>101</v>
      </c>
      <c r="T53" s="75"/>
    </row>
    <row r="54" spans="2:20" ht="13">
      <c r="B54" s="227" t="s">
        <v>119</v>
      </c>
      <c r="C54" s="156"/>
      <c r="D54" s="156"/>
      <c r="E54" s="156"/>
      <c r="F54" s="156"/>
      <c r="G54" s="156"/>
      <c r="H54" s="145"/>
      <c r="J54" s="76">
        <v>9781617297267</v>
      </c>
      <c r="K54" s="77" t="s">
        <v>120</v>
      </c>
      <c r="L54" s="77" t="s">
        <v>121</v>
      </c>
      <c r="M54" s="77"/>
      <c r="N54" s="77"/>
      <c r="O54" s="77"/>
      <c r="P54" s="77"/>
      <c r="Q54" s="77" t="s">
        <v>111</v>
      </c>
      <c r="R54" s="77" t="s">
        <v>100</v>
      </c>
      <c r="S54" s="77" t="s">
        <v>112</v>
      </c>
      <c r="T54" s="78"/>
    </row>
    <row r="55" spans="2:20" ht="13">
      <c r="B55" s="225" t="s">
        <v>122</v>
      </c>
      <c r="C55" s="156"/>
      <c r="D55" s="156"/>
      <c r="E55" s="156"/>
      <c r="F55" s="156"/>
      <c r="G55" s="156"/>
      <c r="H55" s="145"/>
      <c r="J55" s="73">
        <v>9780262018029</v>
      </c>
      <c r="K55" s="74" t="s">
        <v>123</v>
      </c>
      <c r="L55" s="74" t="s">
        <v>124</v>
      </c>
      <c r="M55" s="74"/>
      <c r="N55" s="74"/>
      <c r="O55" s="74"/>
      <c r="P55" s="74"/>
      <c r="Q55" s="74"/>
      <c r="R55" s="74" t="s">
        <v>100</v>
      </c>
      <c r="S55" s="74" t="s">
        <v>101</v>
      </c>
      <c r="T55" s="75"/>
    </row>
    <row r="56" spans="2:20" ht="13">
      <c r="B56" s="225" t="s">
        <v>125</v>
      </c>
      <c r="C56" s="156"/>
      <c r="D56" s="156"/>
      <c r="E56" s="156"/>
      <c r="F56" s="156"/>
      <c r="G56" s="156"/>
      <c r="H56" s="145"/>
      <c r="J56" s="76">
        <v>9780262013192</v>
      </c>
      <c r="K56" s="77" t="s">
        <v>126</v>
      </c>
      <c r="L56" s="77" t="s">
        <v>127</v>
      </c>
      <c r="M56" s="77"/>
      <c r="N56" s="77"/>
      <c r="O56" s="77"/>
      <c r="P56" s="77"/>
      <c r="Q56" s="77"/>
      <c r="R56" s="77" t="s">
        <v>100</v>
      </c>
      <c r="S56" s="77" t="s">
        <v>101</v>
      </c>
      <c r="T56" s="78"/>
    </row>
    <row r="57" spans="2:20" ht="13">
      <c r="B57" s="225" t="s">
        <v>128</v>
      </c>
      <c r="C57" s="156"/>
      <c r="D57" s="156"/>
      <c r="E57" s="156"/>
      <c r="F57" s="156"/>
      <c r="G57" s="156"/>
      <c r="H57" s="145"/>
      <c r="J57" s="73">
        <v>9781617294433</v>
      </c>
      <c r="K57" s="74" t="s">
        <v>129</v>
      </c>
      <c r="L57" s="74" t="s">
        <v>130</v>
      </c>
      <c r="M57" s="74" t="s">
        <v>131</v>
      </c>
      <c r="N57" s="74"/>
      <c r="O57" s="74" t="s">
        <v>132</v>
      </c>
      <c r="P57" s="74" t="s">
        <v>133</v>
      </c>
      <c r="Q57" s="74" t="s">
        <v>99</v>
      </c>
      <c r="R57" s="74" t="s">
        <v>134</v>
      </c>
      <c r="S57" s="74" t="s">
        <v>101</v>
      </c>
      <c r="T57" s="75"/>
    </row>
    <row r="58" spans="2:20" ht="13">
      <c r="B58" s="225" t="s">
        <v>135</v>
      </c>
      <c r="C58" s="156"/>
      <c r="D58" s="156"/>
      <c r="E58" s="156"/>
      <c r="F58" s="156"/>
      <c r="G58" s="156"/>
      <c r="H58" s="145"/>
      <c r="J58" s="76">
        <v>9786075267883</v>
      </c>
      <c r="K58" s="77" t="s">
        <v>136</v>
      </c>
      <c r="L58" s="77" t="s">
        <v>137</v>
      </c>
      <c r="M58" s="77" t="s">
        <v>138</v>
      </c>
      <c r="N58" s="77"/>
      <c r="O58" s="77" t="s">
        <v>139</v>
      </c>
      <c r="P58" s="77">
        <v>2019</v>
      </c>
      <c r="Q58" s="77" t="s">
        <v>99</v>
      </c>
      <c r="R58" s="77" t="s">
        <v>134</v>
      </c>
      <c r="S58" s="77" t="s">
        <v>101</v>
      </c>
      <c r="T58" s="78"/>
    </row>
    <row r="59" spans="2:20" ht="13">
      <c r="B59" s="225" t="s">
        <v>140</v>
      </c>
      <c r="C59" s="156"/>
      <c r="D59" s="156"/>
      <c r="E59" s="156"/>
      <c r="F59" s="156"/>
      <c r="G59" s="156"/>
      <c r="H59" s="145"/>
      <c r="J59" s="81">
        <v>1492032646</v>
      </c>
      <c r="K59" s="82" t="s">
        <v>141</v>
      </c>
      <c r="L59" s="82" t="s">
        <v>142</v>
      </c>
      <c r="M59" s="82" t="s">
        <v>143</v>
      </c>
      <c r="N59" s="82" t="s">
        <v>144</v>
      </c>
      <c r="O59" s="83" t="s">
        <v>117</v>
      </c>
      <c r="P59" s="84">
        <v>2019</v>
      </c>
      <c r="Q59" s="84" t="s">
        <v>111</v>
      </c>
      <c r="R59" s="84" t="s">
        <v>134</v>
      </c>
      <c r="S59" s="85"/>
      <c r="T59" s="86"/>
    </row>
    <row r="60" spans="2:20" ht="13">
      <c r="B60" s="225" t="s">
        <v>145</v>
      </c>
      <c r="C60" s="156"/>
      <c r="D60" s="156"/>
      <c r="E60" s="156"/>
      <c r="F60" s="156"/>
      <c r="G60" s="156"/>
      <c r="H60" s="145"/>
    </row>
    <row r="61" spans="2:20" ht="13">
      <c r="B61" s="225" t="s">
        <v>146</v>
      </c>
      <c r="C61" s="156"/>
      <c r="D61" s="156"/>
      <c r="E61" s="156"/>
      <c r="F61" s="156"/>
      <c r="G61" s="156"/>
      <c r="H61" s="145"/>
    </row>
    <row r="62" spans="2:20" ht="13">
      <c r="B62" s="225" t="s">
        <v>147</v>
      </c>
      <c r="C62" s="156"/>
      <c r="D62" s="156"/>
      <c r="E62" s="156"/>
      <c r="F62" s="156"/>
      <c r="G62" s="156"/>
      <c r="H62" s="145"/>
    </row>
    <row r="63" spans="2:20" ht="13">
      <c r="B63" s="225" t="s">
        <v>148</v>
      </c>
      <c r="C63" s="156"/>
      <c r="D63" s="156"/>
      <c r="E63" s="156"/>
      <c r="F63" s="156"/>
      <c r="G63" s="156"/>
      <c r="H63" s="145"/>
    </row>
    <row r="64" spans="2:20" ht="13">
      <c r="B64" s="225" t="s">
        <v>149</v>
      </c>
      <c r="C64" s="156"/>
      <c r="D64" s="156"/>
      <c r="E64" s="156"/>
      <c r="F64" s="156"/>
      <c r="G64" s="156"/>
      <c r="H64" s="145"/>
    </row>
    <row r="65" spans="2:8" ht="13">
      <c r="B65" s="226" t="s">
        <v>150</v>
      </c>
      <c r="C65" s="125"/>
      <c r="D65" s="125"/>
      <c r="E65" s="125"/>
      <c r="F65" s="125"/>
      <c r="G65" s="125"/>
      <c r="H65" s="126"/>
    </row>
    <row r="66" spans="2:8" ht="13">
      <c r="C66" s="2"/>
      <c r="E66" s="6"/>
    </row>
    <row r="67" spans="2:8" ht="13">
      <c r="C67" s="2"/>
      <c r="E67" s="6"/>
    </row>
    <row r="68" spans="2:8" ht="13">
      <c r="C68" s="2"/>
      <c r="E68" s="6"/>
    </row>
    <row r="69" spans="2:8" ht="13">
      <c r="C69" s="2"/>
      <c r="E69" s="6"/>
    </row>
    <row r="70" spans="2:8" ht="13">
      <c r="C70" s="2"/>
      <c r="E70" s="6"/>
    </row>
    <row r="71" spans="2:8" ht="13">
      <c r="C71" s="2"/>
      <c r="E71" s="6"/>
    </row>
    <row r="72" spans="2:8" ht="13">
      <c r="C72" s="2"/>
      <c r="E72" s="6"/>
    </row>
    <row r="73" spans="2:8" ht="13">
      <c r="C73" s="2"/>
      <c r="E73" s="6"/>
    </row>
    <row r="74" spans="2:8" ht="13">
      <c r="C74" s="2"/>
      <c r="E74" s="6"/>
    </row>
    <row r="75" spans="2:8" ht="13">
      <c r="C75" s="2"/>
      <c r="E75" s="6"/>
    </row>
    <row r="76" spans="2:8" ht="13">
      <c r="C76" s="2"/>
      <c r="E76" s="6"/>
    </row>
    <row r="77" spans="2:8" ht="13">
      <c r="C77" s="2"/>
      <c r="E77" s="6"/>
    </row>
    <row r="78" spans="2:8" ht="13">
      <c r="C78" s="2"/>
      <c r="E78" s="6"/>
    </row>
    <row r="79" spans="2:8" ht="13">
      <c r="C79" s="2"/>
      <c r="E79" s="6"/>
    </row>
    <row r="80" spans="2:8" ht="13">
      <c r="C80" s="2"/>
      <c r="E80" s="6"/>
    </row>
    <row r="81" spans="3:5" ht="13">
      <c r="C81" s="2"/>
      <c r="E81" s="6"/>
    </row>
    <row r="82" spans="3:5" ht="13">
      <c r="C82" s="2"/>
      <c r="E82" s="6"/>
    </row>
    <row r="83" spans="3:5" ht="13">
      <c r="C83" s="2"/>
      <c r="E83" s="6"/>
    </row>
    <row r="84" spans="3:5" ht="13">
      <c r="C84" s="2"/>
      <c r="E84" s="6"/>
    </row>
    <row r="85" spans="3:5" ht="13">
      <c r="C85" s="2"/>
      <c r="E85" s="6"/>
    </row>
    <row r="86" spans="3:5" ht="13">
      <c r="C86" s="2"/>
      <c r="E86" s="6"/>
    </row>
    <row r="87" spans="3:5" ht="13">
      <c r="C87" s="2"/>
      <c r="E87" s="6"/>
    </row>
    <row r="88" spans="3:5" ht="13">
      <c r="C88" s="2"/>
      <c r="E88" s="6"/>
    </row>
    <row r="89" spans="3:5" ht="13">
      <c r="C89" s="2"/>
      <c r="E89" s="6"/>
    </row>
    <row r="90" spans="3:5" ht="13">
      <c r="C90" s="2"/>
      <c r="E90" s="6"/>
    </row>
    <row r="91" spans="3:5" ht="13">
      <c r="C91" s="2"/>
      <c r="E91" s="6"/>
    </row>
    <row r="92" spans="3:5" ht="13">
      <c r="C92" s="2"/>
      <c r="E92" s="6"/>
    </row>
    <row r="93" spans="3:5" ht="13">
      <c r="C93" s="2"/>
      <c r="E93" s="6"/>
    </row>
    <row r="94" spans="3:5" ht="13">
      <c r="C94" s="2"/>
      <c r="E94" s="6"/>
    </row>
    <row r="95" spans="3:5" ht="13">
      <c r="C95" s="2"/>
      <c r="E95" s="6"/>
    </row>
    <row r="96" spans="3:5" ht="13">
      <c r="C96" s="2"/>
      <c r="E96" s="6"/>
    </row>
    <row r="97" spans="3:5" ht="13">
      <c r="C97" s="2"/>
      <c r="E97" s="6"/>
    </row>
    <row r="98" spans="3:5" ht="13">
      <c r="C98" s="2"/>
      <c r="E98" s="6"/>
    </row>
    <row r="99" spans="3:5" ht="13">
      <c r="C99" s="2"/>
      <c r="E99" s="6"/>
    </row>
    <row r="100" spans="3:5" ht="13">
      <c r="C100" s="2"/>
      <c r="E100" s="6"/>
    </row>
    <row r="101" spans="3:5" ht="13">
      <c r="C101" s="2"/>
      <c r="E101" s="6"/>
    </row>
    <row r="102" spans="3:5" ht="13">
      <c r="C102" s="2"/>
      <c r="E102" s="6"/>
    </row>
    <row r="103" spans="3:5" ht="13">
      <c r="C103" s="2"/>
      <c r="E103" s="6"/>
    </row>
    <row r="104" spans="3:5" ht="13">
      <c r="C104" s="2"/>
      <c r="E104" s="6"/>
    </row>
    <row r="105" spans="3:5" ht="13">
      <c r="C105" s="2"/>
      <c r="E105" s="6"/>
    </row>
    <row r="106" spans="3:5" ht="13">
      <c r="C106" s="2"/>
      <c r="E106" s="6"/>
    </row>
    <row r="107" spans="3:5" ht="13">
      <c r="C107" s="2"/>
      <c r="E107" s="6"/>
    </row>
    <row r="108" spans="3:5" ht="13">
      <c r="C108" s="2"/>
      <c r="E108" s="6"/>
    </row>
    <row r="109" spans="3:5" ht="13">
      <c r="C109" s="2"/>
      <c r="E109" s="6"/>
    </row>
    <row r="110" spans="3:5" ht="13">
      <c r="C110" s="2"/>
      <c r="E110" s="6"/>
    </row>
    <row r="111" spans="3:5" ht="13">
      <c r="C111" s="2"/>
      <c r="E111" s="6"/>
    </row>
    <row r="112" spans="3:5" ht="13">
      <c r="C112" s="2"/>
      <c r="E112" s="6"/>
    </row>
    <row r="113" spans="3:5" ht="13">
      <c r="C113" s="2"/>
      <c r="E113" s="6"/>
    </row>
    <row r="114" spans="3:5" ht="13">
      <c r="C114" s="2"/>
      <c r="E114" s="6"/>
    </row>
    <row r="115" spans="3:5" ht="13">
      <c r="C115" s="2"/>
      <c r="E115" s="6"/>
    </row>
    <row r="116" spans="3:5" ht="13">
      <c r="C116" s="2"/>
      <c r="E116" s="6"/>
    </row>
    <row r="117" spans="3:5" ht="13">
      <c r="C117" s="2"/>
      <c r="E117" s="6"/>
    </row>
    <row r="118" spans="3:5" ht="13">
      <c r="C118" s="2"/>
      <c r="E118" s="6"/>
    </row>
    <row r="119" spans="3:5" ht="13">
      <c r="C119" s="2"/>
      <c r="E119" s="6"/>
    </row>
    <row r="120" spans="3:5" ht="13">
      <c r="C120" s="2"/>
      <c r="E120" s="6"/>
    </row>
    <row r="121" spans="3:5" ht="13">
      <c r="C121" s="2"/>
      <c r="E121" s="6"/>
    </row>
    <row r="122" spans="3:5" ht="13">
      <c r="C122" s="2"/>
      <c r="E122" s="6"/>
    </row>
    <row r="123" spans="3:5" ht="13">
      <c r="C123" s="2"/>
      <c r="E123" s="6"/>
    </row>
    <row r="124" spans="3:5" ht="13">
      <c r="C124" s="2"/>
      <c r="E124" s="6"/>
    </row>
    <row r="125" spans="3:5" ht="13">
      <c r="C125" s="2"/>
      <c r="E125" s="6"/>
    </row>
    <row r="126" spans="3:5" ht="13">
      <c r="C126" s="2"/>
      <c r="E126" s="6"/>
    </row>
    <row r="127" spans="3:5" ht="13">
      <c r="C127" s="2"/>
      <c r="E127" s="6"/>
    </row>
    <row r="128" spans="3:5" ht="13">
      <c r="C128" s="2"/>
      <c r="E128" s="6"/>
    </row>
    <row r="129" spans="3:5" ht="13">
      <c r="C129" s="2"/>
      <c r="E129" s="6"/>
    </row>
    <row r="130" spans="3:5" ht="13">
      <c r="C130" s="2"/>
      <c r="E130" s="6"/>
    </row>
    <row r="131" spans="3:5" ht="13">
      <c r="C131" s="2"/>
      <c r="E131" s="6"/>
    </row>
    <row r="132" spans="3:5" ht="13">
      <c r="C132" s="2"/>
      <c r="E132" s="6"/>
    </row>
    <row r="133" spans="3:5" ht="13">
      <c r="C133" s="2"/>
      <c r="E133" s="6"/>
    </row>
    <row r="134" spans="3:5" ht="13">
      <c r="C134" s="2"/>
      <c r="E134" s="6"/>
    </row>
    <row r="135" spans="3:5" ht="13">
      <c r="C135" s="2"/>
      <c r="E135" s="6"/>
    </row>
    <row r="136" spans="3:5" ht="13">
      <c r="C136" s="2"/>
      <c r="E136" s="6"/>
    </row>
    <row r="137" spans="3:5" ht="13">
      <c r="C137" s="2"/>
      <c r="E137" s="6"/>
    </row>
    <row r="138" spans="3:5" ht="13">
      <c r="C138" s="2"/>
      <c r="E138" s="6"/>
    </row>
    <row r="139" spans="3:5" ht="13">
      <c r="C139" s="2"/>
      <c r="E139" s="6"/>
    </row>
    <row r="140" spans="3:5" ht="13">
      <c r="C140" s="2"/>
      <c r="E140" s="6"/>
    </row>
    <row r="141" spans="3:5" ht="13">
      <c r="C141" s="2"/>
      <c r="E141" s="6"/>
    </row>
    <row r="142" spans="3:5" ht="13">
      <c r="C142" s="2"/>
      <c r="E142" s="6"/>
    </row>
    <row r="143" spans="3:5" ht="13">
      <c r="C143" s="2"/>
      <c r="E143" s="6"/>
    </row>
    <row r="144" spans="3:5" ht="13">
      <c r="C144" s="2"/>
      <c r="E144" s="6"/>
    </row>
    <row r="145" spans="3:5" ht="13">
      <c r="C145" s="2"/>
      <c r="E145" s="6"/>
    </row>
    <row r="146" spans="3:5" ht="13">
      <c r="C146" s="2"/>
      <c r="E146" s="6"/>
    </row>
    <row r="147" spans="3:5" ht="13">
      <c r="C147" s="2"/>
      <c r="E147" s="6"/>
    </row>
    <row r="148" spans="3:5" ht="13">
      <c r="C148" s="2"/>
      <c r="E148" s="6"/>
    </row>
    <row r="149" spans="3:5" ht="13">
      <c r="C149" s="2"/>
      <c r="E149" s="6"/>
    </row>
    <row r="150" spans="3:5" ht="13">
      <c r="C150" s="2"/>
      <c r="E150" s="6"/>
    </row>
    <row r="151" spans="3:5" ht="13">
      <c r="C151" s="2"/>
      <c r="E151" s="6"/>
    </row>
    <row r="152" spans="3:5" ht="13">
      <c r="C152" s="2"/>
      <c r="E152" s="6"/>
    </row>
    <row r="153" spans="3:5" ht="13">
      <c r="C153" s="2"/>
      <c r="E153" s="6"/>
    </row>
    <row r="154" spans="3:5" ht="13">
      <c r="C154" s="2"/>
      <c r="E154" s="6"/>
    </row>
    <row r="155" spans="3:5" ht="13">
      <c r="C155" s="2"/>
      <c r="E155" s="6"/>
    </row>
    <row r="156" spans="3:5" ht="13">
      <c r="C156" s="2"/>
      <c r="E156" s="6"/>
    </row>
    <row r="157" spans="3:5" ht="13">
      <c r="C157" s="2"/>
      <c r="E157" s="6"/>
    </row>
    <row r="158" spans="3:5" ht="13">
      <c r="C158" s="2"/>
      <c r="E158" s="6"/>
    </row>
    <row r="159" spans="3:5" ht="13">
      <c r="C159" s="2"/>
      <c r="E159" s="6"/>
    </row>
    <row r="160" spans="3:5" ht="13">
      <c r="C160" s="2"/>
      <c r="E160" s="6"/>
    </row>
    <row r="161" spans="3:5" ht="13">
      <c r="C161" s="2"/>
      <c r="E161" s="6"/>
    </row>
    <row r="162" spans="3:5" ht="13">
      <c r="C162" s="2"/>
      <c r="E162" s="6"/>
    </row>
    <row r="163" spans="3:5" ht="13">
      <c r="C163" s="2"/>
      <c r="E163" s="6"/>
    </row>
    <row r="164" spans="3:5" ht="13">
      <c r="C164" s="2"/>
      <c r="E164" s="6"/>
    </row>
    <row r="165" spans="3:5" ht="13">
      <c r="C165" s="2"/>
      <c r="E165" s="6"/>
    </row>
    <row r="166" spans="3:5" ht="13">
      <c r="C166" s="2"/>
      <c r="E166" s="6"/>
    </row>
    <row r="167" spans="3:5" ht="13">
      <c r="C167" s="2"/>
      <c r="E167" s="6"/>
    </row>
    <row r="168" spans="3:5" ht="13">
      <c r="C168" s="2"/>
      <c r="E168" s="6"/>
    </row>
    <row r="169" spans="3:5" ht="13">
      <c r="C169" s="2"/>
      <c r="E169" s="6"/>
    </row>
    <row r="170" spans="3:5" ht="13">
      <c r="C170" s="2"/>
      <c r="E170" s="6"/>
    </row>
    <row r="171" spans="3:5" ht="13">
      <c r="C171" s="2"/>
      <c r="E171" s="6"/>
    </row>
    <row r="172" spans="3:5" ht="13">
      <c r="C172" s="2"/>
      <c r="E172" s="6"/>
    </row>
    <row r="173" spans="3:5" ht="13">
      <c r="C173" s="2"/>
      <c r="E173" s="6"/>
    </row>
    <row r="174" spans="3:5" ht="13">
      <c r="C174" s="2"/>
      <c r="E174" s="6"/>
    </row>
    <row r="175" spans="3:5" ht="13">
      <c r="C175" s="2"/>
      <c r="E175" s="6"/>
    </row>
    <row r="176" spans="3:5" ht="13">
      <c r="C176" s="2"/>
      <c r="E176" s="6"/>
    </row>
    <row r="177" spans="3:5" ht="13">
      <c r="C177" s="2"/>
      <c r="E177" s="6"/>
    </row>
    <row r="178" spans="3:5" ht="13">
      <c r="C178" s="2"/>
      <c r="E178" s="6"/>
    </row>
    <row r="179" spans="3:5" ht="13">
      <c r="C179" s="2"/>
      <c r="E179" s="6"/>
    </row>
    <row r="180" spans="3:5" ht="13">
      <c r="C180" s="2"/>
      <c r="E180" s="6"/>
    </row>
    <row r="181" spans="3:5" ht="13">
      <c r="C181" s="2"/>
      <c r="E181" s="6"/>
    </row>
    <row r="182" spans="3:5" ht="13">
      <c r="C182" s="2"/>
      <c r="E182" s="6"/>
    </row>
    <row r="183" spans="3:5" ht="13">
      <c r="C183" s="2"/>
      <c r="E183" s="6"/>
    </row>
    <row r="184" spans="3:5" ht="13">
      <c r="C184" s="2"/>
      <c r="E184" s="6"/>
    </row>
    <row r="185" spans="3:5" ht="13">
      <c r="C185" s="2"/>
      <c r="E185" s="6"/>
    </row>
    <row r="186" spans="3:5" ht="13">
      <c r="C186" s="2"/>
      <c r="E186" s="6"/>
    </row>
    <row r="187" spans="3:5" ht="13">
      <c r="C187" s="2"/>
      <c r="E187" s="6"/>
    </row>
    <row r="188" spans="3:5" ht="13">
      <c r="C188" s="2"/>
      <c r="E188" s="6"/>
    </row>
    <row r="189" spans="3:5" ht="13">
      <c r="C189" s="2"/>
      <c r="E189" s="6"/>
    </row>
    <row r="190" spans="3:5" ht="13">
      <c r="C190" s="2"/>
      <c r="E190" s="6"/>
    </row>
    <row r="191" spans="3:5" ht="13">
      <c r="C191" s="2"/>
      <c r="E191" s="6"/>
    </row>
    <row r="192" spans="3:5" ht="13">
      <c r="C192" s="2"/>
      <c r="E192" s="6"/>
    </row>
    <row r="193" spans="3:5" ht="13">
      <c r="C193" s="2"/>
      <c r="E193" s="6"/>
    </row>
    <row r="194" spans="3:5" ht="13">
      <c r="C194" s="2"/>
      <c r="E194" s="6"/>
    </row>
    <row r="195" spans="3:5" ht="13">
      <c r="C195" s="2"/>
      <c r="E195" s="6"/>
    </row>
    <row r="196" spans="3:5" ht="13">
      <c r="C196" s="2"/>
      <c r="E196" s="6"/>
    </row>
    <row r="197" spans="3:5" ht="13">
      <c r="C197" s="2"/>
      <c r="E197" s="6"/>
    </row>
    <row r="198" spans="3:5" ht="13">
      <c r="C198" s="2"/>
      <c r="E198" s="6"/>
    </row>
    <row r="199" spans="3:5" ht="13">
      <c r="C199" s="2"/>
      <c r="E199" s="6"/>
    </row>
    <row r="200" spans="3:5" ht="13">
      <c r="C200" s="2"/>
      <c r="E200" s="6"/>
    </row>
    <row r="201" spans="3:5" ht="13">
      <c r="C201" s="2"/>
      <c r="E201" s="6"/>
    </row>
    <row r="202" spans="3:5" ht="13">
      <c r="C202" s="2"/>
      <c r="E202" s="6"/>
    </row>
    <row r="203" spans="3:5" ht="13">
      <c r="C203" s="2"/>
      <c r="E203" s="6"/>
    </row>
    <row r="204" spans="3:5" ht="13">
      <c r="C204" s="2"/>
      <c r="E204" s="6"/>
    </row>
    <row r="205" spans="3:5" ht="13">
      <c r="C205" s="2"/>
      <c r="E205" s="6"/>
    </row>
    <row r="206" spans="3:5" ht="13">
      <c r="C206" s="2"/>
      <c r="E206" s="6"/>
    </row>
    <row r="207" spans="3:5" ht="13">
      <c r="C207" s="2"/>
      <c r="E207" s="6"/>
    </row>
    <row r="208" spans="3:5" ht="13">
      <c r="C208" s="2"/>
      <c r="E208" s="6"/>
    </row>
    <row r="209" spans="3:5" ht="13">
      <c r="C209" s="2"/>
      <c r="E209" s="6"/>
    </row>
    <row r="210" spans="3:5" ht="13">
      <c r="C210" s="2"/>
      <c r="E210" s="6"/>
    </row>
    <row r="211" spans="3:5" ht="13">
      <c r="C211" s="2"/>
      <c r="E211" s="6"/>
    </row>
    <row r="212" spans="3:5" ht="13">
      <c r="C212" s="2"/>
      <c r="E212" s="6"/>
    </row>
    <row r="213" spans="3:5" ht="13">
      <c r="C213" s="2"/>
      <c r="E213" s="6"/>
    </row>
    <row r="214" spans="3:5" ht="13">
      <c r="C214" s="2"/>
      <c r="E214" s="6"/>
    </row>
    <row r="215" spans="3:5" ht="13">
      <c r="C215" s="2"/>
      <c r="E215" s="6"/>
    </row>
    <row r="216" spans="3:5" ht="13">
      <c r="C216" s="2"/>
      <c r="E216" s="6"/>
    </row>
    <row r="217" spans="3:5" ht="13">
      <c r="C217" s="2"/>
      <c r="E217" s="6"/>
    </row>
    <row r="218" spans="3:5" ht="13">
      <c r="C218" s="2"/>
      <c r="E218" s="6"/>
    </row>
    <row r="219" spans="3:5" ht="13">
      <c r="C219" s="2"/>
      <c r="E219" s="6"/>
    </row>
    <row r="220" spans="3:5" ht="13">
      <c r="C220" s="2"/>
      <c r="E220" s="6"/>
    </row>
    <row r="221" spans="3:5" ht="13">
      <c r="C221" s="2"/>
      <c r="E221" s="6"/>
    </row>
    <row r="222" spans="3:5" ht="13">
      <c r="C222" s="2"/>
      <c r="E222" s="6"/>
    </row>
    <row r="223" spans="3:5" ht="13">
      <c r="C223" s="2"/>
      <c r="E223" s="6"/>
    </row>
    <row r="224" spans="3:5" ht="13">
      <c r="C224" s="2"/>
      <c r="E224" s="6"/>
    </row>
    <row r="225" spans="3:5" ht="13">
      <c r="C225" s="2"/>
      <c r="E225" s="6"/>
    </row>
    <row r="226" spans="3:5" ht="13">
      <c r="C226" s="2"/>
      <c r="E226" s="6"/>
    </row>
    <row r="227" spans="3:5" ht="13">
      <c r="C227" s="2"/>
      <c r="E227" s="6"/>
    </row>
    <row r="228" spans="3:5" ht="13">
      <c r="C228" s="2"/>
      <c r="E228" s="6"/>
    </row>
    <row r="229" spans="3:5" ht="13">
      <c r="C229" s="2"/>
      <c r="E229" s="6"/>
    </row>
    <row r="230" spans="3:5" ht="13">
      <c r="C230" s="2"/>
      <c r="E230" s="6"/>
    </row>
    <row r="231" spans="3:5" ht="13">
      <c r="C231" s="2"/>
      <c r="E231" s="6"/>
    </row>
    <row r="232" spans="3:5" ht="13">
      <c r="C232" s="2"/>
      <c r="E232" s="6"/>
    </row>
    <row r="233" spans="3:5" ht="13">
      <c r="C233" s="2"/>
      <c r="E233" s="6"/>
    </row>
    <row r="234" spans="3:5" ht="13">
      <c r="C234" s="2"/>
      <c r="E234" s="6"/>
    </row>
    <row r="235" spans="3:5" ht="13">
      <c r="C235" s="2"/>
      <c r="E235" s="6"/>
    </row>
    <row r="236" spans="3:5" ht="13">
      <c r="C236" s="2"/>
      <c r="E236" s="6"/>
    </row>
    <row r="237" spans="3:5" ht="13">
      <c r="C237" s="2"/>
      <c r="E237" s="6"/>
    </row>
    <row r="238" spans="3:5" ht="13">
      <c r="C238" s="2"/>
      <c r="E238" s="6"/>
    </row>
    <row r="239" spans="3:5" ht="13">
      <c r="C239" s="2"/>
      <c r="E239" s="6"/>
    </row>
    <row r="240" spans="3:5" ht="13">
      <c r="C240" s="2"/>
      <c r="E240" s="6"/>
    </row>
    <row r="241" spans="3:5" ht="13">
      <c r="C241" s="2"/>
      <c r="E241" s="6"/>
    </row>
    <row r="242" spans="3:5" ht="13">
      <c r="C242" s="2"/>
      <c r="E242" s="6"/>
    </row>
    <row r="243" spans="3:5" ht="13">
      <c r="C243" s="2"/>
      <c r="E243" s="6"/>
    </row>
    <row r="244" spans="3:5" ht="13">
      <c r="C244" s="2"/>
      <c r="E244" s="6"/>
    </row>
    <row r="245" spans="3:5" ht="13">
      <c r="C245" s="2"/>
      <c r="E245" s="6"/>
    </row>
    <row r="246" spans="3:5" ht="13">
      <c r="C246" s="2"/>
      <c r="E246" s="6"/>
    </row>
    <row r="247" spans="3:5" ht="13">
      <c r="C247" s="2"/>
      <c r="E247" s="6"/>
    </row>
    <row r="248" spans="3:5" ht="13">
      <c r="C248" s="2"/>
      <c r="E248" s="6"/>
    </row>
    <row r="249" spans="3:5" ht="13">
      <c r="C249" s="2"/>
      <c r="E249" s="6"/>
    </row>
    <row r="250" spans="3:5" ht="13">
      <c r="C250" s="2"/>
      <c r="E250" s="6"/>
    </row>
    <row r="251" spans="3:5" ht="13">
      <c r="C251" s="2"/>
      <c r="E251" s="6"/>
    </row>
    <row r="252" spans="3:5" ht="13">
      <c r="C252" s="2"/>
      <c r="E252" s="6"/>
    </row>
    <row r="253" spans="3:5" ht="13">
      <c r="C253" s="2"/>
      <c r="E253" s="6"/>
    </row>
    <row r="254" spans="3:5" ht="13">
      <c r="C254" s="2"/>
      <c r="E254" s="6"/>
    </row>
    <row r="255" spans="3:5" ht="13">
      <c r="C255" s="2"/>
      <c r="E255" s="6"/>
    </row>
    <row r="256" spans="3:5" ht="13">
      <c r="C256" s="2"/>
      <c r="E256" s="6"/>
    </row>
    <row r="257" spans="3:5" ht="13">
      <c r="C257" s="2"/>
      <c r="E257" s="6"/>
    </row>
    <row r="258" spans="3:5" ht="13">
      <c r="C258" s="2"/>
      <c r="E258" s="6"/>
    </row>
    <row r="259" spans="3:5" ht="13">
      <c r="C259" s="2"/>
      <c r="E259" s="6"/>
    </row>
    <row r="260" spans="3:5" ht="13">
      <c r="C260" s="2"/>
      <c r="E260" s="6"/>
    </row>
    <row r="261" spans="3:5" ht="13">
      <c r="C261" s="2"/>
      <c r="E261" s="6"/>
    </row>
    <row r="262" spans="3:5" ht="13">
      <c r="C262" s="2"/>
      <c r="E262" s="6"/>
    </row>
    <row r="263" spans="3:5" ht="13">
      <c r="C263" s="2"/>
      <c r="E263" s="6"/>
    </row>
    <row r="264" spans="3:5" ht="13">
      <c r="C264" s="2"/>
      <c r="E264" s="6"/>
    </row>
    <row r="265" spans="3:5" ht="13">
      <c r="C265" s="2"/>
      <c r="E265" s="6"/>
    </row>
    <row r="266" spans="3:5" ht="13">
      <c r="C266" s="2"/>
      <c r="E266" s="6"/>
    </row>
    <row r="267" spans="3:5" ht="13">
      <c r="C267" s="2"/>
      <c r="E267" s="6"/>
    </row>
    <row r="268" spans="3:5" ht="13">
      <c r="C268" s="2"/>
      <c r="E268" s="6"/>
    </row>
    <row r="269" spans="3:5" ht="13">
      <c r="C269" s="2"/>
      <c r="E269" s="6"/>
    </row>
    <row r="270" spans="3:5" ht="13">
      <c r="C270" s="2"/>
      <c r="E270" s="6"/>
    </row>
    <row r="271" spans="3:5" ht="13">
      <c r="C271" s="2"/>
      <c r="E271" s="6"/>
    </row>
    <row r="272" spans="3:5" ht="13">
      <c r="C272" s="2"/>
      <c r="E272" s="6"/>
    </row>
    <row r="273" spans="3:5" ht="13">
      <c r="C273" s="2"/>
      <c r="E273" s="6"/>
    </row>
    <row r="274" spans="3:5" ht="13">
      <c r="C274" s="2"/>
      <c r="E274" s="6"/>
    </row>
    <row r="275" spans="3:5" ht="13">
      <c r="C275" s="2"/>
      <c r="E275" s="6"/>
    </row>
    <row r="276" spans="3:5" ht="13">
      <c r="C276" s="2"/>
      <c r="E276" s="6"/>
    </row>
    <row r="277" spans="3:5" ht="13">
      <c r="C277" s="2"/>
      <c r="E277" s="6"/>
    </row>
    <row r="278" spans="3:5" ht="13">
      <c r="C278" s="2"/>
      <c r="E278" s="6"/>
    </row>
    <row r="279" spans="3:5" ht="13">
      <c r="C279" s="2"/>
      <c r="E279" s="6"/>
    </row>
    <row r="280" spans="3:5" ht="13">
      <c r="C280" s="2"/>
      <c r="E280" s="6"/>
    </row>
    <row r="281" spans="3:5" ht="13">
      <c r="C281" s="2"/>
      <c r="E281" s="6"/>
    </row>
    <row r="282" spans="3:5" ht="13">
      <c r="C282" s="2"/>
      <c r="E282" s="6"/>
    </row>
    <row r="283" spans="3:5" ht="13">
      <c r="C283" s="2"/>
      <c r="E283" s="6"/>
    </row>
    <row r="284" spans="3:5" ht="13">
      <c r="C284" s="2"/>
      <c r="E284" s="6"/>
    </row>
    <row r="285" spans="3:5" ht="13">
      <c r="C285" s="2"/>
      <c r="E285" s="6"/>
    </row>
    <row r="286" spans="3:5" ht="13">
      <c r="C286" s="2"/>
      <c r="E286" s="6"/>
    </row>
    <row r="287" spans="3:5" ht="13">
      <c r="C287" s="2"/>
      <c r="E287" s="6"/>
    </row>
    <row r="288" spans="3:5" ht="13">
      <c r="C288" s="2"/>
      <c r="E288" s="6"/>
    </row>
    <row r="289" spans="3:5" ht="13">
      <c r="C289" s="2"/>
      <c r="E289" s="6"/>
    </row>
    <row r="290" spans="3:5" ht="13">
      <c r="C290" s="2"/>
      <c r="E290" s="6"/>
    </row>
    <row r="291" spans="3:5" ht="13">
      <c r="C291" s="2"/>
      <c r="E291" s="6"/>
    </row>
    <row r="292" spans="3:5" ht="13">
      <c r="C292" s="2"/>
      <c r="E292" s="6"/>
    </row>
    <row r="293" spans="3:5" ht="13">
      <c r="C293" s="2"/>
      <c r="E293" s="6"/>
    </row>
    <row r="294" spans="3:5" ht="13">
      <c r="C294" s="2"/>
      <c r="E294" s="6"/>
    </row>
    <row r="295" spans="3:5" ht="13">
      <c r="C295" s="2"/>
      <c r="E295" s="6"/>
    </row>
    <row r="296" spans="3:5" ht="13">
      <c r="C296" s="2"/>
      <c r="E296" s="6"/>
    </row>
    <row r="297" spans="3:5" ht="13">
      <c r="C297" s="2"/>
      <c r="E297" s="6"/>
    </row>
    <row r="298" spans="3:5" ht="13">
      <c r="C298" s="2"/>
      <c r="E298" s="6"/>
    </row>
    <row r="299" spans="3:5" ht="13">
      <c r="C299" s="2"/>
      <c r="E299" s="6"/>
    </row>
    <row r="300" spans="3:5" ht="13">
      <c r="C300" s="2"/>
      <c r="E300" s="6"/>
    </row>
    <row r="301" spans="3:5" ht="13">
      <c r="C301" s="2"/>
      <c r="E301" s="6"/>
    </row>
    <row r="302" spans="3:5" ht="13">
      <c r="C302" s="2"/>
      <c r="E302" s="6"/>
    </row>
    <row r="303" spans="3:5" ht="13">
      <c r="C303" s="2"/>
      <c r="E303" s="6"/>
    </row>
    <row r="304" spans="3:5" ht="13">
      <c r="C304" s="2"/>
      <c r="E304" s="6"/>
    </row>
    <row r="305" spans="3:5" ht="13">
      <c r="C305" s="2"/>
      <c r="E305" s="6"/>
    </row>
    <row r="306" spans="3:5" ht="13">
      <c r="C306" s="2"/>
      <c r="E306" s="6"/>
    </row>
    <row r="307" spans="3:5" ht="13">
      <c r="C307" s="2"/>
      <c r="E307" s="6"/>
    </row>
    <row r="308" spans="3:5" ht="13">
      <c r="C308" s="2"/>
      <c r="E308" s="6"/>
    </row>
    <row r="309" spans="3:5" ht="13">
      <c r="C309" s="2"/>
      <c r="E309" s="6"/>
    </row>
    <row r="310" spans="3:5" ht="13">
      <c r="C310" s="2"/>
      <c r="E310" s="6"/>
    </row>
    <row r="311" spans="3:5" ht="13">
      <c r="C311" s="2"/>
      <c r="E311" s="6"/>
    </row>
    <row r="312" spans="3:5" ht="13">
      <c r="C312" s="2"/>
      <c r="E312" s="6"/>
    </row>
    <row r="313" spans="3:5" ht="13">
      <c r="C313" s="2"/>
      <c r="E313" s="6"/>
    </row>
    <row r="314" spans="3:5" ht="13">
      <c r="C314" s="2"/>
      <c r="E314" s="6"/>
    </row>
    <row r="315" spans="3:5" ht="13">
      <c r="C315" s="2"/>
      <c r="E315" s="6"/>
    </row>
    <row r="316" spans="3:5" ht="13">
      <c r="C316" s="2"/>
      <c r="E316" s="6"/>
    </row>
    <row r="317" spans="3:5" ht="13">
      <c r="C317" s="2"/>
      <c r="E317" s="6"/>
    </row>
    <row r="318" spans="3:5" ht="13">
      <c r="C318" s="2"/>
      <c r="E318" s="6"/>
    </row>
    <row r="319" spans="3:5" ht="13">
      <c r="C319" s="2"/>
      <c r="E319" s="6"/>
    </row>
    <row r="320" spans="3:5" ht="13">
      <c r="C320" s="2"/>
      <c r="E320" s="6"/>
    </row>
    <row r="321" spans="3:5" ht="13">
      <c r="C321" s="2"/>
      <c r="E321" s="6"/>
    </row>
    <row r="322" spans="3:5" ht="13">
      <c r="C322" s="2"/>
      <c r="E322" s="6"/>
    </row>
    <row r="323" spans="3:5" ht="13">
      <c r="C323" s="2"/>
      <c r="E323" s="6"/>
    </row>
    <row r="324" spans="3:5" ht="13">
      <c r="C324" s="2"/>
      <c r="E324" s="6"/>
    </row>
    <row r="325" spans="3:5" ht="13">
      <c r="C325" s="2"/>
      <c r="E325" s="6"/>
    </row>
    <row r="326" spans="3:5" ht="13">
      <c r="C326" s="2"/>
      <c r="E326" s="6"/>
    </row>
    <row r="327" spans="3:5" ht="13">
      <c r="C327" s="2"/>
      <c r="E327" s="6"/>
    </row>
    <row r="328" spans="3:5" ht="13">
      <c r="C328" s="2"/>
      <c r="E328" s="6"/>
    </row>
    <row r="329" spans="3:5" ht="13">
      <c r="C329" s="2"/>
      <c r="E329" s="6"/>
    </row>
    <row r="330" spans="3:5" ht="13">
      <c r="C330" s="2"/>
      <c r="E330" s="6"/>
    </row>
    <row r="331" spans="3:5" ht="13">
      <c r="C331" s="2"/>
      <c r="E331" s="6"/>
    </row>
    <row r="332" spans="3:5" ht="13">
      <c r="C332" s="2"/>
      <c r="E332" s="6"/>
    </row>
    <row r="333" spans="3:5" ht="13">
      <c r="C333" s="2"/>
      <c r="E333" s="6"/>
    </row>
    <row r="334" spans="3:5" ht="13">
      <c r="C334" s="2"/>
      <c r="E334" s="6"/>
    </row>
    <row r="335" spans="3:5" ht="13">
      <c r="C335" s="2"/>
      <c r="E335" s="6"/>
    </row>
    <row r="336" spans="3:5" ht="13">
      <c r="C336" s="2"/>
      <c r="E336" s="6"/>
    </row>
    <row r="337" spans="3:5" ht="13">
      <c r="C337" s="2"/>
      <c r="E337" s="6"/>
    </row>
    <row r="338" spans="3:5" ht="13">
      <c r="C338" s="2"/>
      <c r="E338" s="6"/>
    </row>
    <row r="339" spans="3:5" ht="13">
      <c r="C339" s="2"/>
      <c r="E339" s="6"/>
    </row>
    <row r="340" spans="3:5" ht="13">
      <c r="C340" s="2"/>
      <c r="E340" s="6"/>
    </row>
    <row r="341" spans="3:5" ht="13">
      <c r="C341" s="2"/>
      <c r="E341" s="6"/>
    </row>
    <row r="342" spans="3:5" ht="13">
      <c r="C342" s="2"/>
      <c r="E342" s="6"/>
    </row>
    <row r="343" spans="3:5" ht="13">
      <c r="C343" s="2"/>
      <c r="E343" s="6"/>
    </row>
    <row r="344" spans="3:5" ht="13">
      <c r="C344" s="2"/>
      <c r="E344" s="6"/>
    </row>
    <row r="345" spans="3:5" ht="13">
      <c r="C345" s="2"/>
      <c r="E345" s="6"/>
    </row>
    <row r="346" spans="3:5" ht="13">
      <c r="C346" s="2"/>
      <c r="E346" s="6"/>
    </row>
    <row r="347" spans="3:5" ht="13">
      <c r="C347" s="2"/>
      <c r="E347" s="6"/>
    </row>
    <row r="348" spans="3:5" ht="13">
      <c r="C348" s="2"/>
      <c r="E348" s="6"/>
    </row>
    <row r="349" spans="3:5" ht="13">
      <c r="C349" s="2"/>
      <c r="E349" s="6"/>
    </row>
    <row r="350" spans="3:5" ht="13">
      <c r="C350" s="2"/>
      <c r="E350" s="6"/>
    </row>
    <row r="351" spans="3:5" ht="13">
      <c r="C351" s="2"/>
      <c r="E351" s="6"/>
    </row>
    <row r="352" spans="3:5" ht="13">
      <c r="C352" s="2"/>
      <c r="E352" s="6"/>
    </row>
    <row r="353" spans="3:5" ht="13">
      <c r="C353" s="2"/>
      <c r="E353" s="6"/>
    </row>
    <row r="354" spans="3:5" ht="13">
      <c r="C354" s="2"/>
      <c r="E354" s="6"/>
    </row>
    <row r="355" spans="3:5" ht="13">
      <c r="C355" s="2"/>
      <c r="E355" s="6"/>
    </row>
    <row r="356" spans="3:5" ht="13">
      <c r="C356" s="2"/>
      <c r="E356" s="6"/>
    </row>
    <row r="357" spans="3:5" ht="13">
      <c r="C357" s="2"/>
      <c r="E357" s="6"/>
    </row>
    <row r="358" spans="3:5" ht="13">
      <c r="C358" s="2"/>
      <c r="E358" s="6"/>
    </row>
    <row r="359" spans="3:5" ht="13">
      <c r="C359" s="2"/>
      <c r="E359" s="6"/>
    </row>
    <row r="360" spans="3:5" ht="13">
      <c r="C360" s="2"/>
      <c r="E360" s="6"/>
    </row>
    <row r="361" spans="3:5" ht="13">
      <c r="C361" s="2"/>
      <c r="E361" s="6"/>
    </row>
    <row r="362" spans="3:5" ht="13">
      <c r="C362" s="2"/>
      <c r="E362" s="6"/>
    </row>
    <row r="363" spans="3:5" ht="13">
      <c r="C363" s="2"/>
      <c r="E363" s="6"/>
    </row>
    <row r="364" spans="3:5" ht="13">
      <c r="C364" s="2"/>
      <c r="E364" s="6"/>
    </row>
    <row r="365" spans="3:5" ht="13">
      <c r="C365" s="2"/>
      <c r="E365" s="6"/>
    </row>
    <row r="366" spans="3:5" ht="13">
      <c r="C366" s="2"/>
      <c r="E366" s="6"/>
    </row>
    <row r="367" spans="3:5" ht="13">
      <c r="C367" s="2"/>
      <c r="E367" s="6"/>
    </row>
    <row r="368" spans="3:5" ht="13">
      <c r="C368" s="2"/>
      <c r="E368" s="6"/>
    </row>
    <row r="369" spans="3:5" ht="13">
      <c r="C369" s="2"/>
      <c r="E369" s="6"/>
    </row>
    <row r="370" spans="3:5" ht="13">
      <c r="C370" s="2"/>
      <c r="E370" s="6"/>
    </row>
    <row r="371" spans="3:5" ht="13">
      <c r="C371" s="2"/>
      <c r="E371" s="6"/>
    </row>
    <row r="372" spans="3:5" ht="13">
      <c r="C372" s="2"/>
      <c r="E372" s="6"/>
    </row>
    <row r="373" spans="3:5" ht="13">
      <c r="C373" s="2"/>
      <c r="E373" s="6"/>
    </row>
    <row r="374" spans="3:5" ht="13">
      <c r="C374" s="2"/>
      <c r="E374" s="6"/>
    </row>
    <row r="375" spans="3:5" ht="13">
      <c r="C375" s="2"/>
      <c r="E375" s="6"/>
    </row>
    <row r="376" spans="3:5" ht="13">
      <c r="C376" s="2"/>
      <c r="E376" s="6"/>
    </row>
    <row r="377" spans="3:5" ht="13">
      <c r="C377" s="2"/>
      <c r="E377" s="6"/>
    </row>
    <row r="378" spans="3:5" ht="13">
      <c r="C378" s="2"/>
      <c r="E378" s="6"/>
    </row>
    <row r="379" spans="3:5" ht="13">
      <c r="C379" s="2"/>
      <c r="E379" s="6"/>
    </row>
    <row r="380" spans="3:5" ht="13">
      <c r="C380" s="2"/>
      <c r="E380" s="6"/>
    </row>
    <row r="381" spans="3:5" ht="13">
      <c r="C381" s="2"/>
      <c r="E381" s="6"/>
    </row>
    <row r="382" spans="3:5" ht="13">
      <c r="C382" s="2"/>
      <c r="E382" s="6"/>
    </row>
    <row r="383" spans="3:5" ht="13">
      <c r="C383" s="2"/>
      <c r="E383" s="6"/>
    </row>
    <row r="384" spans="3:5" ht="13">
      <c r="C384" s="2"/>
      <c r="E384" s="6"/>
    </row>
    <row r="385" spans="3:5" ht="13">
      <c r="C385" s="2"/>
      <c r="E385" s="6"/>
    </row>
    <row r="386" spans="3:5" ht="13">
      <c r="C386" s="2"/>
      <c r="E386" s="6"/>
    </row>
    <row r="387" spans="3:5" ht="13">
      <c r="C387" s="2"/>
      <c r="E387" s="6"/>
    </row>
    <row r="388" spans="3:5" ht="13">
      <c r="C388" s="2"/>
      <c r="E388" s="6"/>
    </row>
    <row r="389" spans="3:5" ht="13">
      <c r="C389" s="2"/>
      <c r="E389" s="6"/>
    </row>
    <row r="390" spans="3:5" ht="13">
      <c r="C390" s="2"/>
      <c r="E390" s="6"/>
    </row>
    <row r="391" spans="3:5" ht="13">
      <c r="C391" s="2"/>
      <c r="E391" s="6"/>
    </row>
    <row r="392" spans="3:5" ht="13">
      <c r="C392" s="2"/>
      <c r="E392" s="6"/>
    </row>
    <row r="393" spans="3:5" ht="13">
      <c r="C393" s="2"/>
      <c r="E393" s="6"/>
    </row>
    <row r="394" spans="3:5" ht="13">
      <c r="C394" s="2"/>
      <c r="E394" s="6"/>
    </row>
    <row r="395" spans="3:5" ht="13">
      <c r="C395" s="2"/>
      <c r="E395" s="6"/>
    </row>
    <row r="396" spans="3:5" ht="13">
      <c r="C396" s="2"/>
      <c r="E396" s="6"/>
    </row>
    <row r="397" spans="3:5" ht="13">
      <c r="C397" s="2"/>
      <c r="E397" s="6"/>
    </row>
    <row r="398" spans="3:5" ht="13">
      <c r="C398" s="2"/>
      <c r="E398" s="6"/>
    </row>
    <row r="399" spans="3:5" ht="13">
      <c r="C399" s="2"/>
      <c r="E399" s="6"/>
    </row>
    <row r="400" spans="3:5" ht="13">
      <c r="C400" s="2"/>
      <c r="E400" s="6"/>
    </row>
    <row r="401" spans="3:5" ht="13">
      <c r="C401" s="2"/>
      <c r="E401" s="6"/>
    </row>
    <row r="402" spans="3:5" ht="13">
      <c r="C402" s="2"/>
      <c r="E402" s="6"/>
    </row>
    <row r="403" spans="3:5" ht="13">
      <c r="C403" s="2"/>
      <c r="E403" s="6"/>
    </row>
    <row r="404" spans="3:5" ht="13">
      <c r="C404" s="2"/>
      <c r="E404" s="6"/>
    </row>
    <row r="405" spans="3:5" ht="13">
      <c r="C405" s="2"/>
      <c r="E405" s="6"/>
    </row>
    <row r="406" spans="3:5" ht="13">
      <c r="C406" s="2"/>
      <c r="E406" s="6"/>
    </row>
    <row r="407" spans="3:5" ht="13">
      <c r="C407" s="2"/>
      <c r="E407" s="6"/>
    </row>
    <row r="408" spans="3:5" ht="13">
      <c r="C408" s="2"/>
      <c r="E408" s="6"/>
    </row>
    <row r="409" spans="3:5" ht="13">
      <c r="C409" s="2"/>
      <c r="E409" s="6"/>
    </row>
    <row r="410" spans="3:5" ht="13">
      <c r="C410" s="2"/>
      <c r="E410" s="6"/>
    </row>
    <row r="411" spans="3:5" ht="13">
      <c r="C411" s="2"/>
      <c r="E411" s="6"/>
    </row>
    <row r="412" spans="3:5" ht="13">
      <c r="C412" s="2"/>
      <c r="E412" s="6"/>
    </row>
    <row r="413" spans="3:5" ht="13">
      <c r="C413" s="2"/>
      <c r="E413" s="6"/>
    </row>
    <row r="414" spans="3:5" ht="13">
      <c r="C414" s="2"/>
      <c r="E414" s="6"/>
    </row>
    <row r="415" spans="3:5" ht="13">
      <c r="C415" s="2"/>
      <c r="E415" s="6"/>
    </row>
    <row r="416" spans="3:5" ht="13">
      <c r="C416" s="2"/>
      <c r="E416" s="6"/>
    </row>
    <row r="417" spans="3:5" ht="13">
      <c r="C417" s="2"/>
      <c r="E417" s="6"/>
    </row>
    <row r="418" spans="3:5" ht="13">
      <c r="C418" s="2"/>
      <c r="E418" s="6"/>
    </row>
    <row r="419" spans="3:5" ht="13">
      <c r="C419" s="2"/>
      <c r="E419" s="6"/>
    </row>
    <row r="420" spans="3:5" ht="13">
      <c r="C420" s="2"/>
      <c r="E420" s="6"/>
    </row>
    <row r="421" spans="3:5" ht="13">
      <c r="C421" s="2"/>
      <c r="E421" s="6"/>
    </row>
    <row r="422" spans="3:5" ht="13">
      <c r="C422" s="2"/>
      <c r="E422" s="6"/>
    </row>
    <row r="423" spans="3:5" ht="13">
      <c r="C423" s="2"/>
      <c r="E423" s="6"/>
    </row>
    <row r="424" spans="3:5" ht="13">
      <c r="C424" s="2"/>
      <c r="E424" s="6"/>
    </row>
    <row r="425" spans="3:5" ht="13">
      <c r="C425" s="2"/>
      <c r="E425" s="6"/>
    </row>
    <row r="426" spans="3:5" ht="13">
      <c r="C426" s="2"/>
      <c r="E426" s="6"/>
    </row>
    <row r="427" spans="3:5" ht="13">
      <c r="C427" s="2"/>
      <c r="E427" s="6"/>
    </row>
    <row r="428" spans="3:5" ht="13">
      <c r="C428" s="2"/>
      <c r="E428" s="6"/>
    </row>
    <row r="429" spans="3:5" ht="13">
      <c r="C429" s="2"/>
      <c r="E429" s="6"/>
    </row>
    <row r="430" spans="3:5" ht="13">
      <c r="C430" s="2"/>
      <c r="E430" s="6"/>
    </row>
    <row r="431" spans="3:5" ht="13">
      <c r="C431" s="2"/>
      <c r="E431" s="6"/>
    </row>
    <row r="432" spans="3:5" ht="13">
      <c r="C432" s="2"/>
      <c r="E432" s="6"/>
    </row>
    <row r="433" spans="3:5" ht="13">
      <c r="C433" s="2"/>
      <c r="E433" s="6"/>
    </row>
    <row r="434" spans="3:5" ht="13">
      <c r="C434" s="2"/>
      <c r="E434" s="6"/>
    </row>
    <row r="435" spans="3:5" ht="13">
      <c r="C435" s="2"/>
      <c r="E435" s="6"/>
    </row>
    <row r="436" spans="3:5" ht="13">
      <c r="C436" s="2"/>
      <c r="E436" s="6"/>
    </row>
    <row r="437" spans="3:5" ht="13">
      <c r="C437" s="2"/>
      <c r="E437" s="6"/>
    </row>
    <row r="438" spans="3:5" ht="13">
      <c r="C438" s="2"/>
      <c r="E438" s="6"/>
    </row>
    <row r="439" spans="3:5" ht="13">
      <c r="C439" s="2"/>
      <c r="E439" s="6"/>
    </row>
    <row r="440" spans="3:5" ht="13">
      <c r="C440" s="2"/>
      <c r="E440" s="6"/>
    </row>
    <row r="441" spans="3:5" ht="13">
      <c r="C441" s="2"/>
      <c r="E441" s="6"/>
    </row>
    <row r="442" spans="3:5" ht="13">
      <c r="C442" s="2"/>
      <c r="E442" s="6"/>
    </row>
    <row r="443" spans="3:5" ht="13">
      <c r="C443" s="2"/>
      <c r="E443" s="6"/>
    </row>
    <row r="444" spans="3:5" ht="13">
      <c r="C444" s="2"/>
      <c r="E444" s="6"/>
    </row>
    <row r="445" spans="3:5" ht="13">
      <c r="C445" s="2"/>
      <c r="E445" s="6"/>
    </row>
    <row r="446" spans="3:5" ht="13">
      <c r="C446" s="2"/>
      <c r="E446" s="6"/>
    </row>
    <row r="447" spans="3:5" ht="13">
      <c r="C447" s="2"/>
      <c r="E447" s="6"/>
    </row>
    <row r="448" spans="3:5" ht="13">
      <c r="C448" s="2"/>
      <c r="E448" s="6"/>
    </row>
    <row r="449" spans="3:5" ht="13">
      <c r="C449" s="2"/>
      <c r="E449" s="6"/>
    </row>
    <row r="450" spans="3:5" ht="13">
      <c r="C450" s="2"/>
      <c r="E450" s="6"/>
    </row>
    <row r="451" spans="3:5" ht="13">
      <c r="C451" s="2"/>
      <c r="E451" s="6"/>
    </row>
    <row r="452" spans="3:5" ht="13">
      <c r="C452" s="2"/>
      <c r="E452" s="6"/>
    </row>
    <row r="453" spans="3:5" ht="13">
      <c r="C453" s="2"/>
      <c r="E453" s="6"/>
    </row>
    <row r="454" spans="3:5" ht="13">
      <c r="C454" s="2"/>
      <c r="E454" s="6"/>
    </row>
    <row r="455" spans="3:5" ht="13">
      <c r="C455" s="2"/>
      <c r="E455" s="6"/>
    </row>
    <row r="456" spans="3:5" ht="13">
      <c r="C456" s="2"/>
      <c r="E456" s="6"/>
    </row>
    <row r="457" spans="3:5" ht="13">
      <c r="C457" s="2"/>
      <c r="E457" s="6"/>
    </row>
    <row r="458" spans="3:5" ht="13">
      <c r="C458" s="2"/>
      <c r="E458" s="6"/>
    </row>
    <row r="459" spans="3:5" ht="13">
      <c r="C459" s="2"/>
      <c r="E459" s="6"/>
    </row>
    <row r="460" spans="3:5" ht="13">
      <c r="C460" s="2"/>
      <c r="E460" s="6"/>
    </row>
    <row r="461" spans="3:5" ht="13">
      <c r="C461" s="2"/>
      <c r="E461" s="6"/>
    </row>
    <row r="462" spans="3:5" ht="13">
      <c r="C462" s="2"/>
      <c r="E462" s="6"/>
    </row>
    <row r="463" spans="3:5" ht="13">
      <c r="C463" s="2"/>
      <c r="E463" s="6"/>
    </row>
    <row r="464" spans="3:5" ht="13">
      <c r="C464" s="2"/>
      <c r="E464" s="6"/>
    </row>
    <row r="465" spans="3:5" ht="13">
      <c r="C465" s="2"/>
      <c r="E465" s="6"/>
    </row>
    <row r="466" spans="3:5" ht="13">
      <c r="C466" s="2"/>
      <c r="E466" s="6"/>
    </row>
    <row r="467" spans="3:5" ht="13">
      <c r="C467" s="2"/>
      <c r="E467" s="6"/>
    </row>
    <row r="468" spans="3:5" ht="13">
      <c r="C468" s="2"/>
      <c r="E468" s="6"/>
    </row>
    <row r="469" spans="3:5" ht="13">
      <c r="C469" s="2"/>
      <c r="E469" s="6"/>
    </row>
    <row r="470" spans="3:5" ht="13">
      <c r="C470" s="2"/>
      <c r="E470" s="6"/>
    </row>
    <row r="471" spans="3:5" ht="13">
      <c r="C471" s="2"/>
      <c r="E471" s="6"/>
    </row>
    <row r="472" spans="3:5" ht="13">
      <c r="C472" s="2"/>
      <c r="E472" s="6"/>
    </row>
    <row r="473" spans="3:5" ht="13">
      <c r="C473" s="2"/>
      <c r="E473" s="6"/>
    </row>
    <row r="474" spans="3:5" ht="13">
      <c r="C474" s="2"/>
      <c r="E474" s="6"/>
    </row>
    <row r="475" spans="3:5" ht="13">
      <c r="C475" s="2"/>
      <c r="E475" s="6"/>
    </row>
    <row r="476" spans="3:5" ht="13">
      <c r="C476" s="2"/>
      <c r="E476" s="6"/>
    </row>
    <row r="477" spans="3:5" ht="13">
      <c r="C477" s="2"/>
      <c r="E477" s="6"/>
    </row>
    <row r="478" spans="3:5" ht="13">
      <c r="C478" s="2"/>
      <c r="E478" s="6"/>
    </row>
    <row r="479" spans="3:5" ht="13">
      <c r="C479" s="2"/>
      <c r="E479" s="6"/>
    </row>
    <row r="480" spans="3:5" ht="13">
      <c r="C480" s="2"/>
      <c r="E480" s="6"/>
    </row>
    <row r="481" spans="3:5" ht="13">
      <c r="C481" s="2"/>
      <c r="E481" s="6"/>
    </row>
    <row r="482" spans="3:5" ht="13">
      <c r="C482" s="2"/>
      <c r="E482" s="6"/>
    </row>
    <row r="483" spans="3:5" ht="13">
      <c r="C483" s="2"/>
      <c r="E483" s="6"/>
    </row>
    <row r="484" spans="3:5" ht="13">
      <c r="C484" s="2"/>
      <c r="E484" s="6"/>
    </row>
    <row r="485" spans="3:5" ht="13">
      <c r="C485" s="2"/>
      <c r="E485" s="6"/>
    </row>
    <row r="486" spans="3:5" ht="13">
      <c r="C486" s="2"/>
      <c r="E486" s="6"/>
    </row>
    <row r="487" spans="3:5" ht="13">
      <c r="C487" s="2"/>
      <c r="E487" s="6"/>
    </row>
    <row r="488" spans="3:5" ht="13">
      <c r="C488" s="2"/>
      <c r="E488" s="6"/>
    </row>
    <row r="489" spans="3:5" ht="13">
      <c r="C489" s="2"/>
      <c r="E489" s="6"/>
    </row>
    <row r="490" spans="3:5" ht="13">
      <c r="C490" s="2"/>
      <c r="E490" s="6"/>
    </row>
    <row r="491" spans="3:5" ht="13">
      <c r="C491" s="2"/>
      <c r="E491" s="6"/>
    </row>
    <row r="492" spans="3:5" ht="13">
      <c r="C492" s="2"/>
      <c r="E492" s="6"/>
    </row>
    <row r="493" spans="3:5" ht="13">
      <c r="C493" s="2"/>
      <c r="E493" s="6"/>
    </row>
    <row r="494" spans="3:5" ht="13">
      <c r="C494" s="2"/>
      <c r="E494" s="6"/>
    </row>
    <row r="495" spans="3:5" ht="13">
      <c r="C495" s="2"/>
      <c r="E495" s="6"/>
    </row>
    <row r="496" spans="3:5" ht="13">
      <c r="C496" s="2"/>
      <c r="E496" s="6"/>
    </row>
    <row r="497" spans="3:5" ht="13">
      <c r="C497" s="2"/>
      <c r="E497" s="6"/>
    </row>
    <row r="498" spans="3:5" ht="13">
      <c r="C498" s="2"/>
      <c r="E498" s="6"/>
    </row>
    <row r="499" spans="3:5" ht="13">
      <c r="C499" s="2"/>
      <c r="E499" s="6"/>
    </row>
    <row r="500" spans="3:5" ht="13">
      <c r="C500" s="2"/>
      <c r="E500" s="6"/>
    </row>
    <row r="501" spans="3:5" ht="13">
      <c r="C501" s="2"/>
      <c r="E501" s="6"/>
    </row>
    <row r="502" spans="3:5" ht="13">
      <c r="C502" s="2"/>
      <c r="E502" s="6"/>
    </row>
    <row r="503" spans="3:5" ht="13">
      <c r="C503" s="2"/>
      <c r="E503" s="6"/>
    </row>
    <row r="504" spans="3:5" ht="13">
      <c r="C504" s="2"/>
      <c r="E504" s="6"/>
    </row>
    <row r="505" spans="3:5" ht="13">
      <c r="C505" s="2"/>
      <c r="E505" s="6"/>
    </row>
    <row r="506" spans="3:5" ht="13">
      <c r="C506" s="2"/>
      <c r="E506" s="6"/>
    </row>
    <row r="507" spans="3:5" ht="13">
      <c r="C507" s="2"/>
      <c r="E507" s="6"/>
    </row>
    <row r="508" spans="3:5" ht="13">
      <c r="C508" s="2"/>
      <c r="E508" s="6"/>
    </row>
    <row r="509" spans="3:5" ht="13">
      <c r="C509" s="2"/>
      <c r="E509" s="6"/>
    </row>
    <row r="510" spans="3:5" ht="13">
      <c r="C510" s="2"/>
      <c r="E510" s="6"/>
    </row>
    <row r="511" spans="3:5" ht="13">
      <c r="C511" s="2"/>
      <c r="E511" s="6"/>
    </row>
    <row r="512" spans="3:5" ht="13">
      <c r="C512" s="2"/>
      <c r="E512" s="6"/>
    </row>
    <row r="513" spans="3:5" ht="13">
      <c r="C513" s="2"/>
      <c r="E513" s="6"/>
    </row>
    <row r="514" spans="3:5" ht="13">
      <c r="C514" s="2"/>
      <c r="E514" s="6"/>
    </row>
    <row r="515" spans="3:5" ht="13">
      <c r="C515" s="2"/>
      <c r="E515" s="6"/>
    </row>
    <row r="516" spans="3:5" ht="13">
      <c r="C516" s="2"/>
      <c r="E516" s="6"/>
    </row>
    <row r="517" spans="3:5" ht="13">
      <c r="C517" s="2"/>
      <c r="E517" s="6"/>
    </row>
    <row r="518" spans="3:5" ht="13">
      <c r="C518" s="2"/>
      <c r="E518" s="6"/>
    </row>
    <row r="519" spans="3:5" ht="13">
      <c r="C519" s="2"/>
      <c r="E519" s="6"/>
    </row>
    <row r="520" spans="3:5" ht="13">
      <c r="C520" s="2"/>
      <c r="E520" s="6"/>
    </row>
    <row r="521" spans="3:5" ht="13">
      <c r="C521" s="2"/>
      <c r="E521" s="6"/>
    </row>
    <row r="522" spans="3:5" ht="13">
      <c r="C522" s="2"/>
      <c r="E522" s="6"/>
    </row>
    <row r="523" spans="3:5" ht="13">
      <c r="C523" s="2"/>
      <c r="E523" s="6"/>
    </row>
    <row r="524" spans="3:5" ht="13">
      <c r="C524" s="2"/>
      <c r="E524" s="6"/>
    </row>
    <row r="525" spans="3:5" ht="13">
      <c r="C525" s="2"/>
      <c r="E525" s="6"/>
    </row>
    <row r="526" spans="3:5" ht="13">
      <c r="C526" s="2"/>
      <c r="E526" s="6"/>
    </row>
    <row r="527" spans="3:5" ht="13">
      <c r="C527" s="2"/>
      <c r="E527" s="6"/>
    </row>
    <row r="528" spans="3:5" ht="13">
      <c r="C528" s="2"/>
      <c r="E528" s="6"/>
    </row>
    <row r="529" spans="3:5" ht="13">
      <c r="C529" s="2"/>
      <c r="E529" s="6"/>
    </row>
    <row r="530" spans="3:5" ht="13">
      <c r="C530" s="2"/>
      <c r="E530" s="6"/>
    </row>
    <row r="531" spans="3:5" ht="13">
      <c r="C531" s="2"/>
      <c r="E531" s="6"/>
    </row>
    <row r="532" spans="3:5" ht="13">
      <c r="C532" s="2"/>
      <c r="E532" s="6"/>
    </row>
    <row r="533" spans="3:5" ht="13">
      <c r="C533" s="2"/>
      <c r="E533" s="6"/>
    </row>
    <row r="534" spans="3:5" ht="13">
      <c r="C534" s="2"/>
      <c r="E534" s="6"/>
    </row>
    <row r="535" spans="3:5" ht="13">
      <c r="C535" s="2"/>
      <c r="E535" s="6"/>
    </row>
    <row r="536" spans="3:5" ht="13">
      <c r="C536" s="2"/>
      <c r="E536" s="6"/>
    </row>
    <row r="537" spans="3:5" ht="13">
      <c r="C537" s="2"/>
      <c r="E537" s="6"/>
    </row>
    <row r="538" spans="3:5" ht="13">
      <c r="C538" s="2"/>
      <c r="E538" s="6"/>
    </row>
    <row r="539" spans="3:5" ht="13">
      <c r="C539" s="2"/>
      <c r="E539" s="6"/>
    </row>
    <row r="540" spans="3:5" ht="13">
      <c r="C540" s="2"/>
      <c r="E540" s="6"/>
    </row>
    <row r="541" spans="3:5" ht="13">
      <c r="C541" s="2"/>
      <c r="E541" s="6"/>
    </row>
    <row r="542" spans="3:5" ht="13">
      <c r="C542" s="2"/>
      <c r="E542" s="6"/>
    </row>
    <row r="543" spans="3:5" ht="13">
      <c r="C543" s="2"/>
      <c r="E543" s="6"/>
    </row>
    <row r="544" spans="3:5" ht="13">
      <c r="C544" s="2"/>
      <c r="E544" s="6"/>
    </row>
    <row r="545" spans="3:5" ht="13">
      <c r="C545" s="2"/>
      <c r="E545" s="6"/>
    </row>
    <row r="546" spans="3:5" ht="13">
      <c r="C546" s="2"/>
      <c r="E546" s="6"/>
    </row>
    <row r="547" spans="3:5" ht="13">
      <c r="C547" s="2"/>
      <c r="E547" s="6"/>
    </row>
    <row r="548" spans="3:5" ht="13">
      <c r="C548" s="2"/>
      <c r="E548" s="6"/>
    </row>
    <row r="549" spans="3:5" ht="13">
      <c r="C549" s="2"/>
      <c r="E549" s="6"/>
    </row>
    <row r="550" spans="3:5" ht="13">
      <c r="C550" s="2"/>
      <c r="E550" s="6"/>
    </row>
    <row r="551" spans="3:5" ht="13">
      <c r="C551" s="2"/>
      <c r="E551" s="6"/>
    </row>
    <row r="552" spans="3:5" ht="13">
      <c r="C552" s="2"/>
      <c r="E552" s="6"/>
    </row>
    <row r="553" spans="3:5" ht="13">
      <c r="C553" s="2"/>
      <c r="E553" s="6"/>
    </row>
    <row r="554" spans="3:5" ht="13">
      <c r="C554" s="2"/>
      <c r="E554" s="6"/>
    </row>
    <row r="555" spans="3:5" ht="13">
      <c r="C555" s="2"/>
      <c r="E555" s="6"/>
    </row>
    <row r="556" spans="3:5" ht="13">
      <c r="C556" s="2"/>
      <c r="E556" s="6"/>
    </row>
    <row r="557" spans="3:5" ht="13">
      <c r="C557" s="2"/>
      <c r="E557" s="6"/>
    </row>
    <row r="558" spans="3:5" ht="13">
      <c r="C558" s="2"/>
      <c r="E558" s="6"/>
    </row>
    <row r="559" spans="3:5" ht="13">
      <c r="C559" s="2"/>
      <c r="E559" s="6"/>
    </row>
    <row r="560" spans="3:5" ht="13">
      <c r="C560" s="2"/>
      <c r="E560" s="6"/>
    </row>
    <row r="561" spans="3:5" ht="13">
      <c r="C561" s="2"/>
      <c r="E561" s="6"/>
    </row>
    <row r="562" spans="3:5" ht="13">
      <c r="C562" s="2"/>
      <c r="E562" s="6"/>
    </row>
    <row r="563" spans="3:5" ht="13">
      <c r="C563" s="2"/>
      <c r="E563" s="6"/>
    </row>
    <row r="564" spans="3:5" ht="13">
      <c r="C564" s="2"/>
      <c r="E564" s="6"/>
    </row>
    <row r="565" spans="3:5" ht="13">
      <c r="C565" s="2"/>
      <c r="E565" s="6"/>
    </row>
    <row r="566" spans="3:5" ht="13">
      <c r="C566" s="2"/>
      <c r="E566" s="6"/>
    </row>
    <row r="567" spans="3:5" ht="13">
      <c r="C567" s="2"/>
      <c r="E567" s="6"/>
    </row>
    <row r="568" spans="3:5" ht="13">
      <c r="C568" s="2"/>
      <c r="E568" s="6"/>
    </row>
    <row r="569" spans="3:5" ht="13">
      <c r="C569" s="2"/>
      <c r="E569" s="6"/>
    </row>
    <row r="570" spans="3:5" ht="13">
      <c r="C570" s="2"/>
      <c r="E570" s="6"/>
    </row>
    <row r="571" spans="3:5" ht="13">
      <c r="C571" s="2"/>
      <c r="E571" s="6"/>
    </row>
    <row r="572" spans="3:5" ht="13">
      <c r="C572" s="2"/>
      <c r="E572" s="6"/>
    </row>
    <row r="573" spans="3:5" ht="13">
      <c r="C573" s="2"/>
      <c r="E573" s="6"/>
    </row>
    <row r="574" spans="3:5" ht="13">
      <c r="C574" s="2"/>
      <c r="E574" s="6"/>
    </row>
    <row r="575" spans="3:5" ht="13">
      <c r="C575" s="2"/>
      <c r="E575" s="6"/>
    </row>
    <row r="576" spans="3:5" ht="13">
      <c r="C576" s="2"/>
      <c r="E576" s="6"/>
    </row>
    <row r="577" spans="3:5" ht="13">
      <c r="C577" s="2"/>
      <c r="E577" s="6"/>
    </row>
    <row r="578" spans="3:5" ht="13">
      <c r="C578" s="2"/>
      <c r="E578" s="6"/>
    </row>
    <row r="579" spans="3:5" ht="13">
      <c r="C579" s="2"/>
      <c r="E579" s="6"/>
    </row>
    <row r="580" spans="3:5" ht="13">
      <c r="C580" s="2"/>
      <c r="E580" s="6"/>
    </row>
    <row r="581" spans="3:5" ht="13">
      <c r="C581" s="2"/>
      <c r="E581" s="6"/>
    </row>
    <row r="582" spans="3:5" ht="13">
      <c r="C582" s="2"/>
      <c r="E582" s="6"/>
    </row>
    <row r="583" spans="3:5" ht="13">
      <c r="C583" s="2"/>
      <c r="E583" s="6"/>
    </row>
    <row r="584" spans="3:5" ht="13">
      <c r="C584" s="2"/>
      <c r="E584" s="6"/>
    </row>
    <row r="585" spans="3:5" ht="13">
      <c r="C585" s="2"/>
      <c r="E585" s="6"/>
    </row>
    <row r="586" spans="3:5" ht="13">
      <c r="C586" s="2"/>
      <c r="E586" s="6"/>
    </row>
    <row r="587" spans="3:5" ht="13">
      <c r="C587" s="2"/>
      <c r="E587" s="6"/>
    </row>
    <row r="588" spans="3:5" ht="13">
      <c r="C588" s="2"/>
      <c r="E588" s="6"/>
    </row>
    <row r="589" spans="3:5" ht="13">
      <c r="C589" s="2"/>
      <c r="E589" s="6"/>
    </row>
    <row r="590" spans="3:5" ht="13">
      <c r="C590" s="2"/>
      <c r="E590" s="6"/>
    </row>
    <row r="591" spans="3:5" ht="13">
      <c r="C591" s="2"/>
      <c r="E591" s="6"/>
    </row>
    <row r="592" spans="3:5" ht="13">
      <c r="C592" s="2"/>
      <c r="E592" s="6"/>
    </row>
    <row r="593" spans="3:5" ht="13">
      <c r="C593" s="2"/>
      <c r="E593" s="6"/>
    </row>
    <row r="594" spans="3:5" ht="13">
      <c r="C594" s="2"/>
      <c r="E594" s="6"/>
    </row>
    <row r="595" spans="3:5" ht="13">
      <c r="C595" s="2"/>
      <c r="E595" s="6"/>
    </row>
    <row r="596" spans="3:5" ht="13">
      <c r="C596" s="2"/>
      <c r="E596" s="6"/>
    </row>
    <row r="597" spans="3:5" ht="13">
      <c r="C597" s="2"/>
      <c r="E597" s="6"/>
    </row>
    <row r="598" spans="3:5" ht="13">
      <c r="C598" s="2"/>
      <c r="E598" s="6"/>
    </row>
    <row r="599" spans="3:5" ht="13">
      <c r="C599" s="2"/>
      <c r="E599" s="6"/>
    </row>
    <row r="600" spans="3:5" ht="13">
      <c r="C600" s="2"/>
      <c r="E600" s="6"/>
    </row>
    <row r="601" spans="3:5" ht="13">
      <c r="C601" s="2"/>
      <c r="E601" s="6"/>
    </row>
    <row r="602" spans="3:5" ht="13">
      <c r="C602" s="2"/>
      <c r="E602" s="6"/>
    </row>
    <row r="603" spans="3:5" ht="13">
      <c r="C603" s="2"/>
      <c r="E603" s="6"/>
    </row>
    <row r="604" spans="3:5" ht="13">
      <c r="C604" s="2"/>
      <c r="E604" s="6"/>
    </row>
    <row r="605" spans="3:5" ht="13">
      <c r="C605" s="2"/>
      <c r="E605" s="6"/>
    </row>
    <row r="606" spans="3:5" ht="13">
      <c r="C606" s="2"/>
      <c r="E606" s="6"/>
    </row>
    <row r="607" spans="3:5" ht="13">
      <c r="C607" s="2"/>
      <c r="E607" s="6"/>
    </row>
    <row r="608" spans="3:5" ht="13">
      <c r="C608" s="2"/>
      <c r="E608" s="6"/>
    </row>
    <row r="609" spans="3:5" ht="13">
      <c r="C609" s="2"/>
      <c r="E609" s="6"/>
    </row>
    <row r="610" spans="3:5" ht="13">
      <c r="C610" s="2"/>
      <c r="E610" s="6"/>
    </row>
    <row r="611" spans="3:5" ht="13">
      <c r="C611" s="2"/>
      <c r="E611" s="6"/>
    </row>
    <row r="612" spans="3:5" ht="13">
      <c r="C612" s="2"/>
      <c r="E612" s="6"/>
    </row>
    <row r="613" spans="3:5" ht="13">
      <c r="C613" s="2"/>
      <c r="E613" s="6"/>
    </row>
    <row r="614" spans="3:5" ht="13">
      <c r="C614" s="2"/>
      <c r="E614" s="6"/>
    </row>
    <row r="615" spans="3:5" ht="13">
      <c r="C615" s="2"/>
      <c r="E615" s="6"/>
    </row>
    <row r="616" spans="3:5" ht="13">
      <c r="C616" s="2"/>
      <c r="E616" s="6"/>
    </row>
    <row r="617" spans="3:5" ht="13">
      <c r="C617" s="2"/>
      <c r="E617" s="6"/>
    </row>
    <row r="618" spans="3:5" ht="13">
      <c r="C618" s="2"/>
      <c r="E618" s="6"/>
    </row>
    <row r="619" spans="3:5" ht="13">
      <c r="C619" s="2"/>
      <c r="E619" s="6"/>
    </row>
    <row r="620" spans="3:5" ht="13">
      <c r="C620" s="2"/>
      <c r="E620" s="6"/>
    </row>
    <row r="621" spans="3:5" ht="13">
      <c r="C621" s="2"/>
      <c r="E621" s="6"/>
    </row>
    <row r="622" spans="3:5" ht="13">
      <c r="C622" s="2"/>
      <c r="E622" s="6"/>
    </row>
    <row r="623" spans="3:5" ht="13">
      <c r="C623" s="2"/>
      <c r="E623" s="6"/>
    </row>
    <row r="624" spans="3:5" ht="13">
      <c r="C624" s="2"/>
      <c r="E624" s="6"/>
    </row>
    <row r="625" spans="3:5" ht="13">
      <c r="C625" s="2"/>
      <c r="E625" s="6"/>
    </row>
    <row r="626" spans="3:5" ht="13">
      <c r="C626" s="2"/>
      <c r="E626" s="6"/>
    </row>
    <row r="627" spans="3:5" ht="13">
      <c r="C627" s="2"/>
      <c r="E627" s="6"/>
    </row>
    <row r="628" spans="3:5" ht="13">
      <c r="C628" s="2"/>
      <c r="E628" s="6"/>
    </row>
    <row r="629" spans="3:5" ht="13">
      <c r="C629" s="2"/>
      <c r="E629" s="6"/>
    </row>
    <row r="630" spans="3:5" ht="13">
      <c r="C630" s="2"/>
      <c r="E630" s="6"/>
    </row>
    <row r="631" spans="3:5" ht="13">
      <c r="C631" s="2"/>
      <c r="E631" s="6"/>
    </row>
    <row r="632" spans="3:5" ht="13">
      <c r="C632" s="2"/>
      <c r="E632" s="6"/>
    </row>
    <row r="633" spans="3:5" ht="13">
      <c r="C633" s="2"/>
      <c r="E633" s="6"/>
    </row>
    <row r="634" spans="3:5" ht="13">
      <c r="C634" s="2"/>
      <c r="E634" s="6"/>
    </row>
    <row r="635" spans="3:5" ht="13">
      <c r="C635" s="2"/>
      <c r="E635" s="6"/>
    </row>
    <row r="636" spans="3:5" ht="13">
      <c r="C636" s="2"/>
      <c r="E636" s="6"/>
    </row>
    <row r="637" spans="3:5" ht="13">
      <c r="C637" s="2"/>
      <c r="E637" s="6"/>
    </row>
    <row r="638" spans="3:5" ht="13">
      <c r="C638" s="2"/>
      <c r="E638" s="6"/>
    </row>
    <row r="639" spans="3:5" ht="13">
      <c r="C639" s="2"/>
      <c r="E639" s="6"/>
    </row>
    <row r="640" spans="3:5" ht="13">
      <c r="C640" s="2"/>
      <c r="E640" s="6"/>
    </row>
    <row r="641" spans="3:5" ht="13">
      <c r="C641" s="2"/>
      <c r="E641" s="6"/>
    </row>
    <row r="642" spans="3:5" ht="13">
      <c r="C642" s="2"/>
      <c r="E642" s="6"/>
    </row>
    <row r="643" spans="3:5" ht="13">
      <c r="C643" s="2"/>
      <c r="E643" s="6"/>
    </row>
    <row r="644" spans="3:5" ht="13">
      <c r="C644" s="2"/>
      <c r="E644" s="6"/>
    </row>
    <row r="645" spans="3:5" ht="13">
      <c r="C645" s="2"/>
      <c r="E645" s="6"/>
    </row>
    <row r="646" spans="3:5" ht="13">
      <c r="C646" s="2"/>
      <c r="E646" s="6"/>
    </row>
    <row r="647" spans="3:5" ht="13">
      <c r="C647" s="2"/>
      <c r="E647" s="6"/>
    </row>
    <row r="648" spans="3:5" ht="13">
      <c r="C648" s="2"/>
      <c r="E648" s="6"/>
    </row>
    <row r="649" spans="3:5" ht="13">
      <c r="C649" s="2"/>
      <c r="E649" s="6"/>
    </row>
    <row r="650" spans="3:5" ht="13">
      <c r="C650" s="2"/>
      <c r="E650" s="6"/>
    </row>
    <row r="651" spans="3:5" ht="13">
      <c r="C651" s="2"/>
      <c r="E651" s="6"/>
    </row>
    <row r="652" spans="3:5" ht="13">
      <c r="C652" s="2"/>
      <c r="E652" s="6"/>
    </row>
    <row r="653" spans="3:5" ht="13">
      <c r="C653" s="2"/>
      <c r="E653" s="6"/>
    </row>
    <row r="654" spans="3:5" ht="13">
      <c r="C654" s="2"/>
      <c r="E654" s="6"/>
    </row>
    <row r="655" spans="3:5" ht="13">
      <c r="C655" s="2"/>
      <c r="E655" s="6"/>
    </row>
    <row r="656" spans="3:5" ht="13">
      <c r="C656" s="2"/>
      <c r="E656" s="6"/>
    </row>
    <row r="657" spans="3:5" ht="13">
      <c r="C657" s="2"/>
      <c r="E657" s="6"/>
    </row>
    <row r="658" spans="3:5" ht="13">
      <c r="C658" s="2"/>
      <c r="E658" s="6"/>
    </row>
    <row r="659" spans="3:5" ht="13">
      <c r="C659" s="2"/>
      <c r="E659" s="6"/>
    </row>
    <row r="660" spans="3:5" ht="13">
      <c r="C660" s="2"/>
      <c r="E660" s="6"/>
    </row>
    <row r="661" spans="3:5" ht="13">
      <c r="C661" s="2"/>
      <c r="E661" s="6"/>
    </row>
    <row r="662" spans="3:5" ht="13">
      <c r="C662" s="2"/>
      <c r="E662" s="6"/>
    </row>
    <row r="663" spans="3:5" ht="13">
      <c r="C663" s="2"/>
      <c r="E663" s="6"/>
    </row>
    <row r="664" spans="3:5" ht="13">
      <c r="C664" s="2"/>
      <c r="E664" s="6"/>
    </row>
    <row r="665" spans="3:5" ht="13">
      <c r="C665" s="2"/>
      <c r="E665" s="6"/>
    </row>
    <row r="666" spans="3:5" ht="13">
      <c r="C666" s="2"/>
      <c r="E666" s="6"/>
    </row>
    <row r="667" spans="3:5" ht="13">
      <c r="C667" s="2"/>
      <c r="E667" s="6"/>
    </row>
    <row r="668" spans="3:5" ht="13">
      <c r="C668" s="2"/>
      <c r="E668" s="6"/>
    </row>
    <row r="669" spans="3:5" ht="13">
      <c r="C669" s="2"/>
      <c r="E669" s="6"/>
    </row>
    <row r="670" spans="3:5" ht="13">
      <c r="C670" s="2"/>
      <c r="E670" s="6"/>
    </row>
    <row r="671" spans="3:5" ht="13">
      <c r="C671" s="2"/>
      <c r="E671" s="6"/>
    </row>
    <row r="672" spans="3:5" ht="13">
      <c r="C672" s="2"/>
      <c r="E672" s="6"/>
    </row>
    <row r="673" spans="3:5" ht="13">
      <c r="C673" s="2"/>
      <c r="E673" s="6"/>
    </row>
    <row r="674" spans="3:5" ht="13">
      <c r="C674" s="2"/>
      <c r="E674" s="6"/>
    </row>
    <row r="675" spans="3:5" ht="13">
      <c r="C675" s="2"/>
      <c r="E675" s="6"/>
    </row>
    <row r="676" spans="3:5" ht="13">
      <c r="C676" s="2"/>
      <c r="E676" s="6"/>
    </row>
    <row r="677" spans="3:5" ht="13">
      <c r="C677" s="2"/>
      <c r="E677" s="6"/>
    </row>
    <row r="678" spans="3:5" ht="13">
      <c r="C678" s="2"/>
      <c r="E678" s="6"/>
    </row>
    <row r="679" spans="3:5" ht="13">
      <c r="C679" s="2"/>
      <c r="E679" s="6"/>
    </row>
    <row r="680" spans="3:5" ht="13">
      <c r="C680" s="2"/>
      <c r="E680" s="6"/>
    </row>
    <row r="681" spans="3:5" ht="13">
      <c r="C681" s="2"/>
      <c r="E681" s="6"/>
    </row>
    <row r="682" spans="3:5" ht="13">
      <c r="C682" s="2"/>
      <c r="E682" s="6"/>
    </row>
    <row r="683" spans="3:5" ht="13">
      <c r="C683" s="2"/>
      <c r="E683" s="6"/>
    </row>
    <row r="684" spans="3:5" ht="13">
      <c r="C684" s="2"/>
      <c r="E684" s="6"/>
    </row>
    <row r="685" spans="3:5" ht="13">
      <c r="C685" s="2"/>
      <c r="E685" s="6"/>
    </row>
    <row r="686" spans="3:5" ht="13">
      <c r="C686" s="2"/>
      <c r="E686" s="6"/>
    </row>
    <row r="687" spans="3:5" ht="13">
      <c r="C687" s="2"/>
      <c r="E687" s="6"/>
    </row>
    <row r="688" spans="3:5" ht="13">
      <c r="C688" s="2"/>
      <c r="E688" s="6"/>
    </row>
    <row r="689" spans="3:5" ht="13">
      <c r="C689" s="2"/>
      <c r="E689" s="6"/>
    </row>
    <row r="690" spans="3:5" ht="13">
      <c r="C690" s="2"/>
      <c r="E690" s="6"/>
    </row>
    <row r="691" spans="3:5" ht="13">
      <c r="C691" s="2"/>
      <c r="E691" s="6"/>
    </row>
    <row r="692" spans="3:5" ht="13">
      <c r="C692" s="2"/>
      <c r="E692" s="6"/>
    </row>
    <row r="693" spans="3:5" ht="13">
      <c r="C693" s="2"/>
      <c r="E693" s="6"/>
    </row>
    <row r="694" spans="3:5" ht="13">
      <c r="C694" s="2"/>
      <c r="E694" s="6"/>
    </row>
    <row r="695" spans="3:5" ht="13">
      <c r="C695" s="2"/>
      <c r="E695" s="6"/>
    </row>
    <row r="696" spans="3:5" ht="13">
      <c r="C696" s="2"/>
      <c r="E696" s="6"/>
    </row>
    <row r="697" spans="3:5" ht="13">
      <c r="C697" s="2"/>
      <c r="E697" s="6"/>
    </row>
    <row r="698" spans="3:5" ht="13">
      <c r="C698" s="2"/>
      <c r="E698" s="6"/>
    </row>
    <row r="699" spans="3:5" ht="13">
      <c r="C699" s="2"/>
      <c r="E699" s="6"/>
    </row>
    <row r="700" spans="3:5" ht="13">
      <c r="C700" s="2"/>
      <c r="E700" s="6"/>
    </row>
    <row r="701" spans="3:5" ht="13">
      <c r="C701" s="2"/>
      <c r="E701" s="6"/>
    </row>
    <row r="702" spans="3:5" ht="13">
      <c r="C702" s="2"/>
      <c r="E702" s="6"/>
    </row>
    <row r="703" spans="3:5" ht="13">
      <c r="C703" s="2"/>
      <c r="E703" s="6"/>
    </row>
    <row r="704" spans="3:5" ht="13">
      <c r="C704" s="2"/>
      <c r="E704" s="6"/>
    </row>
    <row r="705" spans="3:5" ht="13">
      <c r="C705" s="2"/>
      <c r="E705" s="6"/>
    </row>
    <row r="706" spans="3:5" ht="13">
      <c r="C706" s="2"/>
      <c r="E706" s="6"/>
    </row>
    <row r="707" spans="3:5" ht="13">
      <c r="C707" s="2"/>
      <c r="E707" s="6"/>
    </row>
    <row r="708" spans="3:5" ht="13">
      <c r="C708" s="2"/>
      <c r="E708" s="6"/>
    </row>
    <row r="709" spans="3:5" ht="13">
      <c r="C709" s="2"/>
      <c r="E709" s="6"/>
    </row>
    <row r="710" spans="3:5" ht="13">
      <c r="C710" s="2"/>
      <c r="E710" s="6"/>
    </row>
    <row r="711" spans="3:5" ht="13">
      <c r="C711" s="2"/>
      <c r="E711" s="6"/>
    </row>
    <row r="712" spans="3:5" ht="13">
      <c r="C712" s="2"/>
      <c r="E712" s="6"/>
    </row>
    <row r="713" spans="3:5" ht="13">
      <c r="C713" s="2"/>
      <c r="E713" s="6"/>
    </row>
    <row r="714" spans="3:5" ht="13">
      <c r="C714" s="2"/>
      <c r="E714" s="6"/>
    </row>
    <row r="715" spans="3:5" ht="13">
      <c r="C715" s="2"/>
      <c r="E715" s="6"/>
    </row>
    <row r="716" spans="3:5" ht="13">
      <c r="C716" s="2"/>
      <c r="E716" s="6"/>
    </row>
    <row r="717" spans="3:5" ht="13">
      <c r="C717" s="2"/>
      <c r="E717" s="6"/>
    </row>
    <row r="718" spans="3:5" ht="13">
      <c r="C718" s="2"/>
      <c r="E718" s="6"/>
    </row>
    <row r="719" spans="3:5" ht="13">
      <c r="C719" s="2"/>
      <c r="E719" s="6"/>
    </row>
    <row r="720" spans="3:5" ht="13">
      <c r="C720" s="2"/>
      <c r="E720" s="6"/>
    </row>
    <row r="721" spans="3:5" ht="13">
      <c r="C721" s="2"/>
      <c r="E721" s="6"/>
    </row>
    <row r="722" spans="3:5" ht="13">
      <c r="C722" s="2"/>
      <c r="E722" s="6"/>
    </row>
    <row r="723" spans="3:5" ht="13">
      <c r="C723" s="2"/>
      <c r="E723" s="6"/>
    </row>
    <row r="724" spans="3:5" ht="13">
      <c r="C724" s="2"/>
      <c r="E724" s="6"/>
    </row>
    <row r="725" spans="3:5" ht="13">
      <c r="C725" s="2"/>
      <c r="E725" s="6"/>
    </row>
    <row r="726" spans="3:5" ht="13">
      <c r="C726" s="2"/>
      <c r="E726" s="6"/>
    </row>
    <row r="727" spans="3:5" ht="13">
      <c r="C727" s="2"/>
      <c r="E727" s="6"/>
    </row>
    <row r="728" spans="3:5" ht="13">
      <c r="C728" s="2"/>
      <c r="E728" s="6"/>
    </row>
    <row r="729" spans="3:5" ht="13">
      <c r="C729" s="2"/>
      <c r="E729" s="6"/>
    </row>
    <row r="730" spans="3:5" ht="13">
      <c r="C730" s="2"/>
      <c r="E730" s="6"/>
    </row>
    <row r="731" spans="3:5" ht="13">
      <c r="C731" s="2"/>
      <c r="E731" s="6"/>
    </row>
    <row r="732" spans="3:5" ht="13">
      <c r="C732" s="2"/>
      <c r="E732" s="6"/>
    </row>
    <row r="733" spans="3:5" ht="13">
      <c r="C733" s="2"/>
      <c r="E733" s="6"/>
    </row>
    <row r="734" spans="3:5" ht="13">
      <c r="C734" s="2"/>
      <c r="E734" s="6"/>
    </row>
    <row r="735" spans="3:5" ht="13">
      <c r="C735" s="2"/>
      <c r="E735" s="6"/>
    </row>
    <row r="736" spans="3:5" ht="13">
      <c r="C736" s="2"/>
      <c r="E736" s="6"/>
    </row>
    <row r="737" spans="3:5" ht="13">
      <c r="C737" s="2"/>
      <c r="E737" s="6"/>
    </row>
    <row r="738" spans="3:5" ht="13">
      <c r="C738" s="2"/>
      <c r="E738" s="6"/>
    </row>
    <row r="739" spans="3:5" ht="13">
      <c r="C739" s="2"/>
      <c r="E739" s="6"/>
    </row>
    <row r="740" spans="3:5" ht="13">
      <c r="C740" s="2"/>
      <c r="E740" s="6"/>
    </row>
    <row r="741" spans="3:5" ht="13">
      <c r="C741" s="2"/>
      <c r="E741" s="6"/>
    </row>
    <row r="742" spans="3:5" ht="13">
      <c r="C742" s="2"/>
      <c r="E742" s="6"/>
    </row>
    <row r="743" spans="3:5" ht="13">
      <c r="C743" s="2"/>
      <c r="E743" s="6"/>
    </row>
    <row r="744" spans="3:5" ht="13">
      <c r="C744" s="2"/>
      <c r="E744" s="6"/>
    </row>
    <row r="745" spans="3:5" ht="13">
      <c r="C745" s="2"/>
      <c r="E745" s="6"/>
    </row>
    <row r="746" spans="3:5" ht="13">
      <c r="C746" s="2"/>
      <c r="E746" s="6"/>
    </row>
    <row r="747" spans="3:5" ht="13">
      <c r="C747" s="2"/>
      <c r="E747" s="6"/>
    </row>
    <row r="748" spans="3:5" ht="13">
      <c r="C748" s="2"/>
      <c r="E748" s="6"/>
    </row>
    <row r="749" spans="3:5" ht="13">
      <c r="C749" s="2"/>
      <c r="E749" s="6"/>
    </row>
    <row r="750" spans="3:5" ht="13">
      <c r="C750" s="2"/>
      <c r="E750" s="6"/>
    </row>
    <row r="751" spans="3:5" ht="13">
      <c r="C751" s="2"/>
      <c r="E751" s="6"/>
    </row>
    <row r="752" spans="3:5" ht="13">
      <c r="C752" s="2"/>
      <c r="E752" s="6"/>
    </row>
    <row r="753" spans="3:5" ht="13">
      <c r="C753" s="2"/>
      <c r="E753" s="6"/>
    </row>
    <row r="754" spans="3:5" ht="13">
      <c r="C754" s="2"/>
      <c r="E754" s="6"/>
    </row>
    <row r="755" spans="3:5" ht="13">
      <c r="C755" s="2"/>
      <c r="E755" s="6"/>
    </row>
    <row r="756" spans="3:5" ht="13">
      <c r="C756" s="2"/>
      <c r="E756" s="6"/>
    </row>
    <row r="757" spans="3:5" ht="13">
      <c r="C757" s="2"/>
      <c r="E757" s="6"/>
    </row>
    <row r="758" spans="3:5" ht="13">
      <c r="C758" s="2"/>
      <c r="E758" s="6"/>
    </row>
    <row r="759" spans="3:5" ht="13">
      <c r="C759" s="2"/>
      <c r="E759" s="6"/>
    </row>
    <row r="760" spans="3:5" ht="13">
      <c r="C760" s="2"/>
      <c r="E760" s="6"/>
    </row>
    <row r="761" spans="3:5" ht="13">
      <c r="C761" s="2"/>
      <c r="E761" s="6"/>
    </row>
    <row r="762" spans="3:5" ht="13">
      <c r="C762" s="2"/>
      <c r="E762" s="6"/>
    </row>
    <row r="763" spans="3:5" ht="13">
      <c r="C763" s="2"/>
      <c r="E763" s="6"/>
    </row>
    <row r="764" spans="3:5" ht="13">
      <c r="C764" s="2"/>
      <c r="E764" s="6"/>
    </row>
    <row r="765" spans="3:5" ht="13">
      <c r="C765" s="2"/>
      <c r="E765" s="6"/>
    </row>
    <row r="766" spans="3:5" ht="13">
      <c r="C766" s="2"/>
      <c r="E766" s="6"/>
    </row>
    <row r="767" spans="3:5" ht="13">
      <c r="C767" s="2"/>
      <c r="E767" s="6"/>
    </row>
    <row r="768" spans="3:5" ht="13">
      <c r="C768" s="2"/>
      <c r="E768" s="6"/>
    </row>
    <row r="769" spans="3:5" ht="13">
      <c r="C769" s="2"/>
      <c r="E769" s="6"/>
    </row>
    <row r="770" spans="3:5" ht="13">
      <c r="C770" s="2"/>
      <c r="E770" s="6"/>
    </row>
    <row r="771" spans="3:5" ht="13">
      <c r="C771" s="2"/>
      <c r="E771" s="6"/>
    </row>
    <row r="772" spans="3:5" ht="13">
      <c r="C772" s="2"/>
      <c r="E772" s="6"/>
    </row>
    <row r="773" spans="3:5" ht="13">
      <c r="C773" s="2"/>
      <c r="E773" s="6"/>
    </row>
    <row r="774" spans="3:5" ht="13">
      <c r="C774" s="2"/>
      <c r="E774" s="6"/>
    </row>
    <row r="775" spans="3:5" ht="13">
      <c r="C775" s="2"/>
      <c r="E775" s="6"/>
    </row>
    <row r="776" spans="3:5" ht="13">
      <c r="C776" s="2"/>
      <c r="E776" s="6"/>
    </row>
    <row r="777" spans="3:5" ht="13">
      <c r="C777" s="2"/>
      <c r="E777" s="6"/>
    </row>
    <row r="778" spans="3:5" ht="13">
      <c r="C778" s="2"/>
      <c r="E778" s="6"/>
    </row>
    <row r="779" spans="3:5" ht="13">
      <c r="C779" s="2"/>
      <c r="E779" s="6"/>
    </row>
    <row r="780" spans="3:5" ht="13">
      <c r="C780" s="2"/>
      <c r="E780" s="6"/>
    </row>
    <row r="781" spans="3:5" ht="13">
      <c r="C781" s="2"/>
      <c r="E781" s="6"/>
    </row>
    <row r="782" spans="3:5" ht="13">
      <c r="C782" s="2"/>
      <c r="E782" s="6"/>
    </row>
    <row r="783" spans="3:5" ht="13">
      <c r="C783" s="2"/>
      <c r="E783" s="6"/>
    </row>
    <row r="784" spans="3:5" ht="13">
      <c r="C784" s="2"/>
      <c r="E784" s="6"/>
    </row>
    <row r="785" spans="3:5" ht="13">
      <c r="C785" s="2"/>
      <c r="E785" s="6"/>
    </row>
    <row r="786" spans="3:5" ht="13">
      <c r="C786" s="2"/>
      <c r="E786" s="6"/>
    </row>
    <row r="787" spans="3:5" ht="13">
      <c r="C787" s="2"/>
      <c r="E787" s="6"/>
    </row>
    <row r="788" spans="3:5" ht="13">
      <c r="C788" s="2"/>
      <c r="E788" s="6"/>
    </row>
    <row r="789" spans="3:5" ht="13">
      <c r="C789" s="2"/>
      <c r="E789" s="6"/>
    </row>
    <row r="790" spans="3:5" ht="13">
      <c r="C790" s="2"/>
      <c r="E790" s="6"/>
    </row>
    <row r="791" spans="3:5" ht="13">
      <c r="C791" s="2"/>
      <c r="E791" s="6"/>
    </row>
    <row r="792" spans="3:5" ht="13">
      <c r="C792" s="2"/>
      <c r="E792" s="6"/>
    </row>
    <row r="793" spans="3:5" ht="13">
      <c r="C793" s="2"/>
      <c r="E793" s="6"/>
    </row>
    <row r="794" spans="3:5" ht="13">
      <c r="C794" s="2"/>
      <c r="E794" s="6"/>
    </row>
    <row r="795" spans="3:5" ht="13">
      <c r="C795" s="2"/>
      <c r="E795" s="6"/>
    </row>
    <row r="796" spans="3:5" ht="13">
      <c r="C796" s="2"/>
      <c r="E796" s="6"/>
    </row>
    <row r="797" spans="3:5" ht="13">
      <c r="C797" s="2"/>
      <c r="E797" s="6"/>
    </row>
    <row r="798" spans="3:5" ht="13">
      <c r="C798" s="2"/>
      <c r="E798" s="6"/>
    </row>
    <row r="799" spans="3:5" ht="13">
      <c r="C799" s="2"/>
      <c r="E799" s="6"/>
    </row>
    <row r="800" spans="3:5" ht="13">
      <c r="C800" s="2"/>
      <c r="E800" s="6"/>
    </row>
    <row r="801" spans="3:5" ht="13">
      <c r="C801" s="2"/>
      <c r="E801" s="6"/>
    </row>
    <row r="802" spans="3:5" ht="13">
      <c r="C802" s="2"/>
      <c r="E802" s="6"/>
    </row>
    <row r="803" spans="3:5" ht="13">
      <c r="C803" s="2"/>
      <c r="E803" s="6"/>
    </row>
    <row r="804" spans="3:5" ht="13">
      <c r="C804" s="2"/>
      <c r="E804" s="6"/>
    </row>
    <row r="805" spans="3:5" ht="13">
      <c r="C805" s="2"/>
      <c r="E805" s="6"/>
    </row>
    <row r="806" spans="3:5" ht="13">
      <c r="C806" s="2"/>
      <c r="E806" s="6"/>
    </row>
    <row r="807" spans="3:5" ht="13">
      <c r="C807" s="2"/>
      <c r="E807" s="6"/>
    </row>
    <row r="808" spans="3:5" ht="13">
      <c r="C808" s="2"/>
      <c r="E808" s="6"/>
    </row>
    <row r="809" spans="3:5" ht="13">
      <c r="C809" s="2"/>
      <c r="E809" s="6"/>
    </row>
    <row r="810" spans="3:5" ht="13">
      <c r="C810" s="2"/>
      <c r="E810" s="6"/>
    </row>
    <row r="811" spans="3:5" ht="13">
      <c r="C811" s="2"/>
      <c r="E811" s="6"/>
    </row>
    <row r="812" spans="3:5" ht="13">
      <c r="C812" s="2"/>
      <c r="E812" s="6"/>
    </row>
    <row r="813" spans="3:5" ht="13">
      <c r="C813" s="2"/>
      <c r="E813" s="6"/>
    </row>
    <row r="814" spans="3:5" ht="13">
      <c r="C814" s="2"/>
      <c r="E814" s="6"/>
    </row>
    <row r="815" spans="3:5" ht="13">
      <c r="C815" s="2"/>
      <c r="E815" s="6"/>
    </row>
    <row r="816" spans="3:5" ht="13">
      <c r="C816" s="2"/>
      <c r="E816" s="6"/>
    </row>
    <row r="817" spans="3:5" ht="13">
      <c r="C817" s="2"/>
      <c r="E817" s="6"/>
    </row>
    <row r="818" spans="3:5" ht="13">
      <c r="C818" s="2"/>
      <c r="E818" s="6"/>
    </row>
    <row r="819" spans="3:5" ht="13">
      <c r="C819" s="2"/>
      <c r="E819" s="6"/>
    </row>
    <row r="820" spans="3:5" ht="13">
      <c r="C820" s="2"/>
      <c r="E820" s="6"/>
    </row>
    <row r="821" spans="3:5" ht="13">
      <c r="C821" s="2"/>
      <c r="E821" s="6"/>
    </row>
    <row r="822" spans="3:5" ht="13">
      <c r="C822" s="2"/>
      <c r="E822" s="6"/>
    </row>
    <row r="823" spans="3:5" ht="13">
      <c r="C823" s="2"/>
      <c r="E823" s="6"/>
    </row>
    <row r="824" spans="3:5" ht="13">
      <c r="C824" s="2"/>
      <c r="E824" s="6"/>
    </row>
    <row r="825" spans="3:5" ht="13">
      <c r="C825" s="2"/>
      <c r="E825" s="6"/>
    </row>
    <row r="826" spans="3:5" ht="13">
      <c r="C826" s="2"/>
      <c r="E826" s="6"/>
    </row>
    <row r="827" spans="3:5" ht="13">
      <c r="C827" s="2"/>
      <c r="E827" s="6"/>
    </row>
    <row r="828" spans="3:5" ht="13">
      <c r="C828" s="2"/>
      <c r="E828" s="6"/>
    </row>
    <row r="829" spans="3:5" ht="13">
      <c r="C829" s="2"/>
      <c r="E829" s="6"/>
    </row>
    <row r="830" spans="3:5" ht="13">
      <c r="C830" s="2"/>
      <c r="E830" s="6"/>
    </row>
    <row r="831" spans="3:5" ht="13">
      <c r="C831" s="2"/>
      <c r="E831" s="6"/>
    </row>
    <row r="832" spans="3:5" ht="13">
      <c r="C832" s="2"/>
      <c r="E832" s="6"/>
    </row>
    <row r="833" spans="3:5" ht="13">
      <c r="C833" s="2"/>
      <c r="E833" s="6"/>
    </row>
    <row r="834" spans="3:5" ht="13">
      <c r="C834" s="2"/>
      <c r="E834" s="6"/>
    </row>
    <row r="835" spans="3:5" ht="13">
      <c r="C835" s="2"/>
      <c r="E835" s="6"/>
    </row>
    <row r="836" spans="3:5" ht="13">
      <c r="C836" s="2"/>
      <c r="E836" s="6"/>
    </row>
    <row r="837" spans="3:5" ht="13">
      <c r="C837" s="2"/>
      <c r="E837" s="6"/>
    </row>
    <row r="838" spans="3:5" ht="13">
      <c r="C838" s="2"/>
      <c r="E838" s="6"/>
    </row>
    <row r="839" spans="3:5" ht="13">
      <c r="C839" s="2"/>
      <c r="E839" s="6"/>
    </row>
    <row r="840" spans="3:5" ht="13">
      <c r="C840" s="2"/>
      <c r="E840" s="6"/>
    </row>
    <row r="841" spans="3:5" ht="13">
      <c r="C841" s="2"/>
      <c r="E841" s="6"/>
    </row>
    <row r="842" spans="3:5" ht="13">
      <c r="C842" s="2"/>
      <c r="E842" s="6"/>
    </row>
    <row r="843" spans="3:5" ht="13">
      <c r="C843" s="2"/>
      <c r="E843" s="6"/>
    </row>
    <row r="844" spans="3:5" ht="13">
      <c r="C844" s="2"/>
      <c r="E844" s="6"/>
    </row>
    <row r="845" spans="3:5" ht="13">
      <c r="C845" s="2"/>
      <c r="E845" s="6"/>
    </row>
    <row r="846" spans="3:5" ht="13">
      <c r="C846" s="2"/>
      <c r="E846" s="6"/>
    </row>
    <row r="847" spans="3:5" ht="13">
      <c r="C847" s="2"/>
      <c r="E847" s="6"/>
    </row>
    <row r="848" spans="3:5" ht="13">
      <c r="C848" s="2"/>
      <c r="E848" s="6"/>
    </row>
    <row r="849" spans="3:5" ht="13">
      <c r="C849" s="2"/>
      <c r="E849" s="6"/>
    </row>
    <row r="850" spans="3:5" ht="13">
      <c r="C850" s="2"/>
      <c r="E850" s="6"/>
    </row>
    <row r="851" spans="3:5" ht="13">
      <c r="C851" s="2"/>
      <c r="E851" s="6"/>
    </row>
    <row r="852" spans="3:5" ht="13">
      <c r="C852" s="2"/>
      <c r="E852" s="6"/>
    </row>
    <row r="853" spans="3:5" ht="13">
      <c r="C853" s="2"/>
      <c r="E853" s="6"/>
    </row>
    <row r="854" spans="3:5" ht="13">
      <c r="C854" s="2"/>
      <c r="E854" s="6"/>
    </row>
    <row r="855" spans="3:5" ht="13">
      <c r="C855" s="2"/>
      <c r="E855" s="6"/>
    </row>
    <row r="856" spans="3:5" ht="13">
      <c r="C856" s="2"/>
      <c r="E856" s="6"/>
    </row>
    <row r="857" spans="3:5" ht="13">
      <c r="C857" s="2"/>
      <c r="E857" s="6"/>
    </row>
    <row r="858" spans="3:5" ht="13">
      <c r="C858" s="2"/>
      <c r="E858" s="6"/>
    </row>
    <row r="859" spans="3:5" ht="13">
      <c r="C859" s="2"/>
      <c r="E859" s="6"/>
    </row>
    <row r="860" spans="3:5" ht="13">
      <c r="C860" s="2"/>
      <c r="E860" s="6"/>
    </row>
    <row r="861" spans="3:5" ht="13">
      <c r="C861" s="2"/>
      <c r="E861" s="6"/>
    </row>
    <row r="862" spans="3:5" ht="13">
      <c r="C862" s="2"/>
      <c r="E862" s="6"/>
    </row>
    <row r="863" spans="3:5" ht="13">
      <c r="C863" s="2"/>
      <c r="E863" s="6"/>
    </row>
    <row r="864" spans="3:5" ht="13">
      <c r="C864" s="2"/>
      <c r="E864" s="6"/>
    </row>
    <row r="865" spans="3:5" ht="13">
      <c r="C865" s="2"/>
      <c r="E865" s="6"/>
    </row>
    <row r="866" spans="3:5" ht="13">
      <c r="C866" s="2"/>
      <c r="E866" s="6"/>
    </row>
    <row r="867" spans="3:5" ht="13">
      <c r="C867" s="2"/>
      <c r="E867" s="6"/>
    </row>
    <row r="868" spans="3:5" ht="13">
      <c r="C868" s="2"/>
      <c r="E868" s="6"/>
    </row>
    <row r="869" spans="3:5" ht="13">
      <c r="C869" s="2"/>
      <c r="E869" s="6"/>
    </row>
    <row r="870" spans="3:5" ht="13">
      <c r="C870" s="2"/>
      <c r="E870" s="6"/>
    </row>
    <row r="871" spans="3:5" ht="13">
      <c r="C871" s="2"/>
      <c r="E871" s="6"/>
    </row>
    <row r="872" spans="3:5" ht="13">
      <c r="C872" s="2"/>
      <c r="E872" s="6"/>
    </row>
    <row r="873" spans="3:5" ht="13">
      <c r="C873" s="2"/>
      <c r="E873" s="6"/>
    </row>
    <row r="874" spans="3:5" ht="13">
      <c r="C874" s="2"/>
      <c r="E874" s="6"/>
    </row>
    <row r="875" spans="3:5" ht="13">
      <c r="C875" s="2"/>
      <c r="E875" s="6"/>
    </row>
    <row r="876" spans="3:5" ht="13">
      <c r="C876" s="2"/>
      <c r="E876" s="6"/>
    </row>
    <row r="877" spans="3:5" ht="13">
      <c r="C877" s="2"/>
      <c r="E877" s="6"/>
    </row>
    <row r="878" spans="3:5" ht="13">
      <c r="C878" s="2"/>
      <c r="E878" s="6"/>
    </row>
    <row r="879" spans="3:5" ht="13">
      <c r="C879" s="2"/>
      <c r="E879" s="6"/>
    </row>
    <row r="880" spans="3:5" ht="13">
      <c r="C880" s="2"/>
      <c r="E880" s="6"/>
    </row>
    <row r="881" spans="3:5" ht="13">
      <c r="C881" s="2"/>
      <c r="E881" s="6"/>
    </row>
    <row r="882" spans="3:5" ht="13">
      <c r="C882" s="2"/>
      <c r="E882" s="6"/>
    </row>
    <row r="883" spans="3:5" ht="13">
      <c r="C883" s="2"/>
      <c r="E883" s="6"/>
    </row>
    <row r="884" spans="3:5" ht="13">
      <c r="C884" s="2"/>
      <c r="E884" s="6"/>
    </row>
    <row r="885" spans="3:5" ht="13">
      <c r="C885" s="2"/>
      <c r="E885" s="6"/>
    </row>
    <row r="886" spans="3:5" ht="13">
      <c r="C886" s="2"/>
      <c r="E886" s="6"/>
    </row>
    <row r="887" spans="3:5" ht="13">
      <c r="C887" s="2"/>
      <c r="E887" s="6"/>
    </row>
    <row r="888" spans="3:5" ht="13">
      <c r="C888" s="2"/>
      <c r="E888" s="6"/>
    </row>
    <row r="889" spans="3:5" ht="13">
      <c r="C889" s="2"/>
      <c r="E889" s="6"/>
    </row>
    <row r="890" spans="3:5" ht="13">
      <c r="C890" s="2"/>
      <c r="E890" s="6"/>
    </row>
    <row r="891" spans="3:5" ht="13">
      <c r="C891" s="2"/>
      <c r="E891" s="6"/>
    </row>
    <row r="892" spans="3:5" ht="13">
      <c r="C892" s="2"/>
      <c r="E892" s="6"/>
    </row>
    <row r="893" spans="3:5" ht="13">
      <c r="C893" s="2"/>
      <c r="E893" s="6"/>
    </row>
    <row r="894" spans="3:5" ht="13">
      <c r="C894" s="2"/>
      <c r="E894" s="6"/>
    </row>
    <row r="895" spans="3:5" ht="13">
      <c r="C895" s="2"/>
      <c r="E895" s="6"/>
    </row>
    <row r="896" spans="3:5" ht="13">
      <c r="C896" s="2"/>
      <c r="E896" s="6"/>
    </row>
    <row r="897" spans="3:5" ht="13">
      <c r="C897" s="2"/>
      <c r="E897" s="6"/>
    </row>
    <row r="898" spans="3:5" ht="13">
      <c r="C898" s="2"/>
      <c r="E898" s="6"/>
    </row>
    <row r="899" spans="3:5" ht="13">
      <c r="C899" s="2"/>
      <c r="E899" s="6"/>
    </row>
    <row r="900" spans="3:5" ht="13">
      <c r="C900" s="2"/>
      <c r="E900" s="6"/>
    </row>
    <row r="901" spans="3:5" ht="13">
      <c r="C901" s="2"/>
      <c r="E901" s="6"/>
    </row>
    <row r="902" spans="3:5" ht="13">
      <c r="C902" s="2"/>
      <c r="E902" s="6"/>
    </row>
    <row r="903" spans="3:5" ht="13">
      <c r="C903" s="2"/>
      <c r="E903" s="6"/>
    </row>
    <row r="904" spans="3:5" ht="13">
      <c r="C904" s="2"/>
      <c r="E904" s="6"/>
    </row>
    <row r="905" spans="3:5" ht="13">
      <c r="C905" s="2"/>
      <c r="E905" s="6"/>
    </row>
    <row r="906" spans="3:5" ht="13">
      <c r="C906" s="2"/>
      <c r="E906" s="6"/>
    </row>
    <row r="907" spans="3:5" ht="13">
      <c r="C907" s="2"/>
      <c r="E907" s="6"/>
    </row>
    <row r="908" spans="3:5" ht="13">
      <c r="C908" s="2"/>
      <c r="E908" s="6"/>
    </row>
    <row r="909" spans="3:5" ht="13">
      <c r="C909" s="2"/>
      <c r="E909" s="6"/>
    </row>
    <row r="910" spans="3:5" ht="13">
      <c r="C910" s="2"/>
      <c r="E910" s="6"/>
    </row>
    <row r="911" spans="3:5" ht="13">
      <c r="C911" s="2"/>
      <c r="E911" s="6"/>
    </row>
    <row r="912" spans="3:5" ht="13">
      <c r="C912" s="2"/>
      <c r="E912" s="6"/>
    </row>
    <row r="913" spans="3:5" ht="13">
      <c r="C913" s="2"/>
      <c r="E913" s="6"/>
    </row>
    <row r="914" spans="3:5" ht="13">
      <c r="C914" s="2"/>
      <c r="E914" s="6"/>
    </row>
    <row r="915" spans="3:5" ht="13">
      <c r="C915" s="2"/>
      <c r="E915" s="6"/>
    </row>
    <row r="916" spans="3:5" ht="13">
      <c r="C916" s="2"/>
      <c r="E916" s="6"/>
    </row>
    <row r="917" spans="3:5" ht="13">
      <c r="C917" s="2"/>
      <c r="E917" s="6"/>
    </row>
    <row r="918" spans="3:5" ht="13">
      <c r="C918" s="2"/>
      <c r="E918" s="6"/>
    </row>
    <row r="919" spans="3:5" ht="13">
      <c r="C919" s="2"/>
      <c r="E919" s="6"/>
    </row>
    <row r="920" spans="3:5" ht="13">
      <c r="C920" s="2"/>
      <c r="E920" s="6"/>
    </row>
    <row r="921" spans="3:5" ht="13">
      <c r="C921" s="2"/>
      <c r="E921" s="6"/>
    </row>
    <row r="922" spans="3:5" ht="13">
      <c r="C922" s="2"/>
      <c r="E922" s="6"/>
    </row>
    <row r="923" spans="3:5" ht="13">
      <c r="C923" s="2"/>
      <c r="E923" s="6"/>
    </row>
    <row r="924" spans="3:5" ht="13">
      <c r="C924" s="2"/>
      <c r="E924" s="6"/>
    </row>
    <row r="925" spans="3:5" ht="13">
      <c r="C925" s="2"/>
      <c r="E925" s="6"/>
    </row>
    <row r="926" spans="3:5" ht="13">
      <c r="C926" s="2"/>
      <c r="E926" s="6"/>
    </row>
    <row r="927" spans="3:5" ht="13">
      <c r="C927" s="2"/>
      <c r="E927" s="6"/>
    </row>
    <row r="928" spans="3:5" ht="13">
      <c r="C928" s="2"/>
      <c r="E928" s="6"/>
    </row>
    <row r="929" spans="3:5" ht="13">
      <c r="C929" s="2"/>
      <c r="E929" s="6"/>
    </row>
    <row r="930" spans="3:5" ht="13">
      <c r="C930" s="2"/>
      <c r="E930" s="6"/>
    </row>
    <row r="931" spans="3:5" ht="13">
      <c r="C931" s="2"/>
      <c r="E931" s="6"/>
    </row>
    <row r="932" spans="3:5" ht="13">
      <c r="C932" s="2"/>
      <c r="E932" s="6"/>
    </row>
    <row r="933" spans="3:5" ht="13">
      <c r="C933" s="2"/>
      <c r="E933" s="6"/>
    </row>
    <row r="934" spans="3:5" ht="13">
      <c r="C934" s="2"/>
      <c r="E934" s="6"/>
    </row>
    <row r="935" spans="3:5" ht="13">
      <c r="C935" s="2"/>
      <c r="E935" s="6"/>
    </row>
    <row r="936" spans="3:5" ht="13">
      <c r="C936" s="2"/>
      <c r="E936" s="6"/>
    </row>
    <row r="937" spans="3:5" ht="13">
      <c r="C937" s="2"/>
      <c r="E937" s="6"/>
    </row>
    <row r="938" spans="3:5" ht="13">
      <c r="C938" s="2"/>
      <c r="E938" s="6"/>
    </row>
    <row r="939" spans="3:5" ht="13">
      <c r="C939" s="2"/>
      <c r="E939" s="6"/>
    </row>
    <row r="940" spans="3:5" ht="13">
      <c r="C940" s="2"/>
      <c r="E940" s="6"/>
    </row>
    <row r="941" spans="3:5" ht="13">
      <c r="C941" s="2"/>
      <c r="E941" s="6"/>
    </row>
    <row r="942" spans="3:5" ht="13">
      <c r="C942" s="2"/>
      <c r="E942" s="6"/>
    </row>
    <row r="943" spans="3:5" ht="13">
      <c r="C943" s="2"/>
      <c r="E943" s="6"/>
    </row>
    <row r="944" spans="3:5" ht="13">
      <c r="C944" s="2"/>
      <c r="E944" s="6"/>
    </row>
    <row r="945" spans="3:5" ht="13">
      <c r="C945" s="2"/>
      <c r="E945" s="6"/>
    </row>
    <row r="946" spans="3:5" ht="13">
      <c r="C946" s="2"/>
      <c r="E946" s="6"/>
    </row>
    <row r="947" spans="3:5" ht="13">
      <c r="C947" s="2"/>
      <c r="E947" s="6"/>
    </row>
    <row r="948" spans="3:5" ht="13">
      <c r="C948" s="2"/>
      <c r="E948" s="6"/>
    </row>
    <row r="949" spans="3:5" ht="13">
      <c r="C949" s="2"/>
      <c r="E949" s="6"/>
    </row>
    <row r="950" spans="3:5" ht="13">
      <c r="C950" s="2"/>
      <c r="E950" s="6"/>
    </row>
    <row r="951" spans="3:5" ht="13">
      <c r="C951" s="2"/>
      <c r="E951" s="6"/>
    </row>
    <row r="952" spans="3:5" ht="13">
      <c r="C952" s="2"/>
      <c r="E952" s="6"/>
    </row>
    <row r="953" spans="3:5" ht="13">
      <c r="C953" s="2"/>
      <c r="E953" s="6"/>
    </row>
    <row r="954" spans="3:5" ht="13">
      <c r="C954" s="2"/>
      <c r="E954" s="6"/>
    </row>
    <row r="955" spans="3:5" ht="13">
      <c r="C955" s="2"/>
      <c r="E955" s="6"/>
    </row>
    <row r="956" spans="3:5" ht="13">
      <c r="C956" s="2"/>
      <c r="E956" s="6"/>
    </row>
    <row r="957" spans="3:5" ht="13">
      <c r="C957" s="2"/>
      <c r="E957" s="6"/>
    </row>
    <row r="958" spans="3:5" ht="13">
      <c r="C958" s="2"/>
      <c r="E958" s="6"/>
    </row>
    <row r="959" spans="3:5" ht="13">
      <c r="C959" s="2"/>
      <c r="E959" s="6"/>
    </row>
    <row r="960" spans="3:5" ht="13">
      <c r="C960" s="2"/>
      <c r="E960" s="6"/>
    </row>
    <row r="961" spans="3:5" ht="13">
      <c r="C961" s="2"/>
      <c r="E961" s="6"/>
    </row>
    <row r="962" spans="3:5" ht="13">
      <c r="C962" s="2"/>
      <c r="E962" s="6"/>
    </row>
    <row r="963" spans="3:5" ht="13">
      <c r="C963" s="2"/>
      <c r="E963" s="6"/>
    </row>
    <row r="964" spans="3:5" ht="13">
      <c r="E964" s="6"/>
    </row>
    <row r="965" spans="3:5" ht="13">
      <c r="E965" s="6"/>
    </row>
    <row r="966" spans="3:5" ht="13">
      <c r="E966" s="6"/>
    </row>
    <row r="967" spans="3:5" ht="13">
      <c r="E967" s="6"/>
    </row>
    <row r="968" spans="3:5" ht="13">
      <c r="E968" s="6"/>
    </row>
  </sheetData>
  <mergeCells count="88">
    <mergeCell ref="B64:H64"/>
    <mergeCell ref="B65:H65"/>
    <mergeCell ref="B59:H59"/>
    <mergeCell ref="B60:H60"/>
    <mergeCell ref="B61:H61"/>
    <mergeCell ref="B62:H62"/>
    <mergeCell ref="B63:H63"/>
    <mergeCell ref="B54:H54"/>
    <mergeCell ref="B55:H55"/>
    <mergeCell ref="B56:H56"/>
    <mergeCell ref="B57:H57"/>
    <mergeCell ref="B58:H58"/>
    <mergeCell ref="L47:R47"/>
    <mergeCell ref="L48:R48"/>
    <mergeCell ref="B50:H50"/>
    <mergeCell ref="B51:H51"/>
    <mergeCell ref="B52:H52"/>
    <mergeCell ref="C36:D36"/>
    <mergeCell ref="C37:D37"/>
    <mergeCell ref="B38:D38"/>
    <mergeCell ref="B39:D39"/>
    <mergeCell ref="L46:R46"/>
    <mergeCell ref="J31:N31"/>
    <mergeCell ref="J32:N32"/>
    <mergeCell ref="C33:D33"/>
    <mergeCell ref="C34:D34"/>
    <mergeCell ref="C35:D35"/>
    <mergeCell ref="U28:W28"/>
    <mergeCell ref="U29:W29"/>
    <mergeCell ref="P30:T30"/>
    <mergeCell ref="P31:T32"/>
    <mergeCell ref="U37:V37"/>
    <mergeCell ref="U24:W24"/>
    <mergeCell ref="U25:W25"/>
    <mergeCell ref="P26:T26"/>
    <mergeCell ref="U26:W26"/>
    <mergeCell ref="P27:T27"/>
    <mergeCell ref="U27:W27"/>
    <mergeCell ref="U22:W22"/>
    <mergeCell ref="J23:N23"/>
    <mergeCell ref="U23:W23"/>
    <mergeCell ref="P22:T22"/>
    <mergeCell ref="P23:T23"/>
    <mergeCell ref="B29:D29"/>
    <mergeCell ref="J29:N29"/>
    <mergeCell ref="C19:H19"/>
    <mergeCell ref="J21:N21"/>
    <mergeCell ref="P21:T21"/>
    <mergeCell ref="J22:N22"/>
    <mergeCell ref="P24:T24"/>
    <mergeCell ref="P28:T28"/>
    <mergeCell ref="J27:N27"/>
    <mergeCell ref="J28:N28"/>
    <mergeCell ref="B21:E21"/>
    <mergeCell ref="C24:D24"/>
    <mergeCell ref="C25:D25"/>
    <mergeCell ref="C26:D26"/>
    <mergeCell ref="J26:N26"/>
    <mergeCell ref="C27:D27"/>
    <mergeCell ref="J11:R11"/>
    <mergeCell ref="C12:G12"/>
    <mergeCell ref="J12:R12"/>
    <mergeCell ref="C13:G13"/>
    <mergeCell ref="J13:R13"/>
    <mergeCell ref="B28:D28"/>
    <mergeCell ref="C15:H15"/>
    <mergeCell ref="J15:T15"/>
    <mergeCell ref="C16:H16"/>
    <mergeCell ref="J16:T16"/>
    <mergeCell ref="J19:T19"/>
    <mergeCell ref="I15:I16"/>
    <mergeCell ref="B15:B16"/>
    <mergeCell ref="C2:T2"/>
    <mergeCell ref="B3:T3"/>
    <mergeCell ref="C4:G4"/>
    <mergeCell ref="S4:T4"/>
    <mergeCell ref="C6:G8"/>
    <mergeCell ref="S6:T14"/>
    <mergeCell ref="C9:G11"/>
    <mergeCell ref="C14:G14"/>
    <mergeCell ref="J14:R14"/>
    <mergeCell ref="J4:R4"/>
    <mergeCell ref="J6:R6"/>
    <mergeCell ref="H6:H14"/>
    <mergeCell ref="I7:I10"/>
    <mergeCell ref="B6:B8"/>
    <mergeCell ref="B9:B11"/>
    <mergeCell ref="J7:R10"/>
  </mergeCells>
  <hyperlinks>
    <hyperlink ref="J39" r:id="rId1" xr:uid="{00000000-0004-0000-0000-000000000000}"/>
    <hyperlink ref="B43" r:id="rId2" xr:uid="{00000000-0004-0000-0000-000001000000}"/>
    <hyperlink ref="J43" r:id="rId3" xr:uid="{00000000-0004-0000-0000-000002000000}"/>
    <hyperlink ref="B45" r:id="rId4" xr:uid="{00000000-0004-0000-0000-000003000000}"/>
    <hyperlink ref="J46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B1000"/>
  <sheetViews>
    <sheetView tabSelected="1" topLeftCell="A6" zoomScale="152" zoomScaleNormal="152" workbookViewId="0">
      <selection activeCell="G16" sqref="G16:H19"/>
    </sheetView>
  </sheetViews>
  <sheetFormatPr baseColWidth="10" defaultColWidth="12.6640625" defaultRowHeight="15.75" customHeight="1"/>
  <cols>
    <col min="1" max="1" width="17.33203125" customWidth="1"/>
    <col min="2" max="2" width="38.1640625" customWidth="1"/>
    <col min="3" max="3" width="30.1640625" customWidth="1"/>
    <col min="4" max="6" width="19.83203125" customWidth="1"/>
    <col min="9" max="9" width="15.1640625" customWidth="1"/>
    <col min="10" max="10" width="15.33203125" customWidth="1"/>
    <col min="11" max="12" width="26.5" customWidth="1"/>
  </cols>
  <sheetData>
    <row r="1" spans="1:28" ht="15.75" customHeight="1">
      <c r="A1" s="88" t="s">
        <v>211</v>
      </c>
      <c r="B1" s="151" t="s">
        <v>210</v>
      </c>
      <c r="C1" s="132"/>
      <c r="D1" s="132"/>
      <c r="E1" s="132"/>
      <c r="F1" s="133"/>
      <c r="K1" s="6"/>
      <c r="L1" s="6"/>
    </row>
    <row r="2" spans="1:28" ht="15.75" customHeight="1">
      <c r="A2" s="90"/>
      <c r="B2" s="155" t="s">
        <v>34</v>
      </c>
      <c r="C2" s="156"/>
      <c r="D2" s="156"/>
      <c r="E2" s="156"/>
      <c r="F2" s="145"/>
      <c r="K2" s="6"/>
      <c r="L2" s="6"/>
    </row>
    <row r="3" spans="1:28" ht="35" customHeight="1">
      <c r="A3" s="91" t="s">
        <v>38</v>
      </c>
      <c r="B3" s="157" t="s">
        <v>39</v>
      </c>
      <c r="C3" s="132"/>
      <c r="D3" s="132"/>
      <c r="E3" s="132"/>
      <c r="F3" s="133"/>
      <c r="K3" s="6"/>
      <c r="L3" s="6"/>
    </row>
    <row r="4" spans="1:28" ht="15.75" customHeight="1">
      <c r="A4" s="92"/>
      <c r="B4" s="90"/>
      <c r="C4" s="34"/>
      <c r="D4" s="34"/>
      <c r="E4" s="34"/>
      <c r="F4" s="93"/>
      <c r="K4" s="6"/>
      <c r="L4" s="6"/>
    </row>
    <row r="5" spans="1:28" ht="15.75" customHeight="1">
      <c r="A5" s="92"/>
      <c r="B5" s="90"/>
      <c r="C5" s="34"/>
      <c r="D5" s="34"/>
      <c r="E5" s="34"/>
      <c r="F5" s="93"/>
      <c r="K5" s="6"/>
      <c r="L5" s="6"/>
    </row>
    <row r="6" spans="1:28" ht="29" customHeight="1">
      <c r="A6" s="92"/>
      <c r="B6" s="155" t="s">
        <v>48</v>
      </c>
      <c r="C6" s="156"/>
      <c r="D6" s="156"/>
      <c r="E6" s="156"/>
      <c r="F6" s="145"/>
      <c r="K6" s="6"/>
      <c r="L6" s="6"/>
    </row>
    <row r="7" spans="1:28" ht="37" customHeight="1">
      <c r="A7" s="91" t="s">
        <v>38</v>
      </c>
      <c r="B7" s="158" t="s">
        <v>51</v>
      </c>
      <c r="C7" s="132"/>
      <c r="D7" s="132"/>
      <c r="E7" s="132"/>
      <c r="F7" s="133"/>
      <c r="K7" s="6"/>
      <c r="L7" s="6"/>
    </row>
    <row r="8" spans="1:28" ht="41" customHeight="1">
      <c r="A8" s="94" t="s">
        <v>54</v>
      </c>
      <c r="B8" s="157" t="s">
        <v>55</v>
      </c>
      <c r="C8" s="132"/>
      <c r="D8" s="132"/>
      <c r="E8" s="132"/>
      <c r="F8" s="133"/>
      <c r="K8" s="6"/>
      <c r="L8" s="6"/>
    </row>
    <row r="9" spans="1:28" ht="34" customHeight="1">
      <c r="A9" s="94" t="s">
        <v>54</v>
      </c>
      <c r="B9" s="158" t="s">
        <v>58</v>
      </c>
      <c r="C9" s="132"/>
      <c r="D9" s="132"/>
      <c r="E9" s="132"/>
      <c r="F9" s="133"/>
      <c r="K9" s="6"/>
      <c r="L9" s="6"/>
    </row>
    <row r="10" spans="1:28" ht="15.75" customHeight="1">
      <c r="A10" s="92"/>
      <c r="B10" s="92"/>
      <c r="C10" s="2"/>
      <c r="D10" s="2"/>
      <c r="E10" s="2"/>
      <c r="F10" s="95"/>
      <c r="K10" s="6"/>
      <c r="L10" s="6"/>
    </row>
    <row r="11" spans="1:28" ht="28" customHeight="1">
      <c r="A11" s="96"/>
      <c r="B11" s="165" t="s">
        <v>59</v>
      </c>
      <c r="C11" s="156"/>
      <c r="D11" s="156"/>
      <c r="E11" s="156"/>
      <c r="F11" s="145"/>
      <c r="K11" s="6"/>
      <c r="L11" s="6"/>
    </row>
    <row r="12" spans="1:28" ht="32" customHeight="1">
      <c r="A12" s="94" t="s">
        <v>54</v>
      </c>
      <c r="B12" s="166" t="s">
        <v>151</v>
      </c>
      <c r="C12" s="132"/>
      <c r="D12" s="132"/>
      <c r="E12" s="132"/>
      <c r="F12" s="133"/>
      <c r="K12" s="6"/>
      <c r="L12" s="6"/>
    </row>
    <row r="13" spans="1:28" ht="15.75" customHeight="1">
      <c r="A13" s="97"/>
      <c r="B13" s="97"/>
      <c r="F13" s="98"/>
      <c r="K13" s="6"/>
      <c r="L13" s="6"/>
    </row>
    <row r="14" spans="1:28" ht="15.75" customHeight="1">
      <c r="A14" s="97"/>
      <c r="B14" s="97"/>
      <c r="F14" s="98"/>
      <c r="K14" s="6"/>
      <c r="L14" s="6"/>
    </row>
    <row r="15" spans="1:28" ht="39" customHeight="1" thickTop="1" thickBot="1">
      <c r="A15" s="99" t="s">
        <v>152</v>
      </c>
      <c r="B15" s="99" t="s">
        <v>153</v>
      </c>
      <c r="C15" s="151" t="s">
        <v>154</v>
      </c>
      <c r="D15" s="132"/>
      <c r="E15" s="133"/>
      <c r="F15" s="89" t="s">
        <v>155</v>
      </c>
      <c r="G15" s="167" t="s">
        <v>156</v>
      </c>
      <c r="H15" s="150"/>
      <c r="I15" s="167" t="s">
        <v>157</v>
      </c>
      <c r="J15" s="150"/>
      <c r="K15" s="100" t="s">
        <v>158</v>
      </c>
      <c r="L15" s="100" t="s">
        <v>159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</row>
    <row r="16" spans="1:28" ht="13" customHeight="1" thickTop="1">
      <c r="A16" s="168" t="s">
        <v>38</v>
      </c>
      <c r="B16" s="128" t="s">
        <v>160</v>
      </c>
      <c r="C16" s="159" t="s">
        <v>161</v>
      </c>
      <c r="D16" s="160"/>
      <c r="E16" s="161"/>
      <c r="F16" s="127">
        <v>1</v>
      </c>
      <c r="G16" s="134" t="s">
        <v>45</v>
      </c>
      <c r="H16" s="229"/>
      <c r="I16" s="140">
        <f>(F16+F18)*2</f>
        <v>4</v>
      </c>
      <c r="J16" s="135"/>
      <c r="K16" s="118" t="str">
        <f>IF(I16 = 4,"destacado", IF(I16 = 3, "solido", IF( I16 = 2, "básico","incipiente")))</f>
        <v>destacado</v>
      </c>
      <c r="L16" s="118" t="s">
        <v>162</v>
      </c>
    </row>
    <row r="17" spans="1:28" ht="14" thickBot="1">
      <c r="A17" s="129"/>
      <c r="B17" s="129"/>
      <c r="C17" s="162"/>
      <c r="D17" s="163"/>
      <c r="E17" s="164"/>
      <c r="F17" s="124"/>
      <c r="G17" s="230"/>
      <c r="H17" s="231"/>
      <c r="I17" s="136"/>
      <c r="J17" s="137"/>
      <c r="K17" s="119"/>
      <c r="L17" s="119"/>
      <c r="M17" s="21"/>
      <c r="N17" s="21"/>
    </row>
    <row r="18" spans="1:28" ht="15.75" customHeight="1" thickTop="1">
      <c r="A18" s="129"/>
      <c r="B18" s="129"/>
      <c r="C18" s="159" t="s">
        <v>163</v>
      </c>
      <c r="D18" s="160"/>
      <c r="E18" s="161"/>
      <c r="F18" s="127">
        <v>1</v>
      </c>
      <c r="G18" s="230"/>
      <c r="H18" s="231"/>
      <c r="I18" s="136"/>
      <c r="J18" s="137"/>
      <c r="K18" s="119"/>
      <c r="L18" s="119"/>
      <c r="M18" s="21"/>
      <c r="N18" s="21"/>
    </row>
    <row r="19" spans="1:28" ht="14" thickBot="1">
      <c r="A19" s="129"/>
      <c r="B19" s="130"/>
      <c r="C19" s="162"/>
      <c r="D19" s="163"/>
      <c r="E19" s="164"/>
      <c r="F19" s="124"/>
      <c r="G19" s="232"/>
      <c r="H19" s="233"/>
      <c r="I19" s="138"/>
      <c r="J19" s="139"/>
      <c r="K19" s="120"/>
      <c r="L19" s="120"/>
    </row>
    <row r="20" spans="1:28" ht="27" customHeight="1" thickTop="1" thickBot="1">
      <c r="A20" s="129"/>
      <c r="B20" s="128" t="s">
        <v>164</v>
      </c>
      <c r="C20" s="169" t="s">
        <v>165</v>
      </c>
      <c r="D20" s="170"/>
      <c r="E20" s="171"/>
      <c r="F20" s="102">
        <v>1</v>
      </c>
      <c r="G20" s="228" t="s">
        <v>42</v>
      </c>
      <c r="H20" s="229"/>
      <c r="I20" s="140">
        <f>F20+F21+F22+1</f>
        <v>4</v>
      </c>
      <c r="J20" s="135"/>
      <c r="K20" s="118" t="str">
        <f>IF(I20 = 4,"destacado", IF(I20 = 3, "solido", IF( I20 = 2, "básico","incipiente")))</f>
        <v>destacado</v>
      </c>
      <c r="L20" s="118" t="s">
        <v>166</v>
      </c>
    </row>
    <row r="21" spans="1:28" ht="27" customHeight="1" thickTop="1" thickBot="1">
      <c r="A21" s="129"/>
      <c r="B21" s="129"/>
      <c r="C21" s="169" t="s">
        <v>167</v>
      </c>
      <c r="D21" s="170"/>
      <c r="E21" s="171"/>
      <c r="F21" s="102">
        <v>1</v>
      </c>
      <c r="G21" s="230"/>
      <c r="H21" s="231"/>
      <c r="I21" s="136"/>
      <c r="J21" s="137"/>
      <c r="K21" s="119"/>
      <c r="L21" s="119"/>
    </row>
    <row r="22" spans="1:28" ht="15.75" customHeight="1" thickTop="1">
      <c r="A22" s="129"/>
      <c r="B22" s="129"/>
      <c r="C22" s="121" t="s">
        <v>168</v>
      </c>
      <c r="D22" s="172"/>
      <c r="E22" s="173"/>
      <c r="F22" s="127">
        <v>1</v>
      </c>
      <c r="G22" s="230"/>
      <c r="H22" s="231"/>
      <c r="I22" s="136"/>
      <c r="J22" s="137"/>
      <c r="K22" s="119"/>
      <c r="L22" s="119"/>
    </row>
    <row r="23" spans="1:28" ht="14" thickBot="1">
      <c r="A23" s="130"/>
      <c r="B23" s="130"/>
      <c r="C23" s="174"/>
      <c r="D23" s="175"/>
      <c r="E23" s="176"/>
      <c r="F23" s="124"/>
      <c r="G23" s="232"/>
      <c r="H23" s="233"/>
      <c r="I23" s="138"/>
      <c r="J23" s="139"/>
      <c r="K23" s="120"/>
      <c r="L23" s="120"/>
    </row>
    <row r="24" spans="1:28" ht="24" customHeight="1" thickTop="1">
      <c r="A24" s="97"/>
      <c r="B24" s="97"/>
      <c r="C24" s="98"/>
      <c r="D24" s="98"/>
      <c r="E24" s="98"/>
      <c r="F24" s="6"/>
      <c r="G24" s="177" t="s">
        <v>213</v>
      </c>
      <c r="H24" s="150"/>
      <c r="I24" s="178">
        <f>SUM(I16:J23) / 2*25</f>
        <v>100</v>
      </c>
      <c r="J24" s="154"/>
      <c r="K24" s="150"/>
      <c r="L24" s="103" t="s">
        <v>169</v>
      </c>
    </row>
    <row r="25" spans="1:28" ht="15.75" customHeight="1" thickBot="1">
      <c r="A25" s="97"/>
      <c r="B25" s="97"/>
      <c r="C25" s="87"/>
      <c r="D25" s="87"/>
      <c r="E25" s="87"/>
      <c r="F25" s="16"/>
      <c r="G25" s="15"/>
      <c r="H25" s="15"/>
      <c r="K25" s="104"/>
      <c r="L25" s="104"/>
    </row>
    <row r="26" spans="1:28" ht="54" customHeight="1" thickTop="1" thickBot="1">
      <c r="A26" s="99" t="s">
        <v>152</v>
      </c>
      <c r="B26" s="99" t="s">
        <v>153</v>
      </c>
      <c r="C26" s="151" t="s">
        <v>154</v>
      </c>
      <c r="D26" s="132"/>
      <c r="E26" s="133"/>
      <c r="F26" s="89" t="s">
        <v>155</v>
      </c>
      <c r="G26" s="167" t="s">
        <v>156</v>
      </c>
      <c r="H26" s="150"/>
      <c r="I26" s="167" t="s">
        <v>157</v>
      </c>
      <c r="J26" s="150"/>
      <c r="K26" s="100"/>
      <c r="L26" s="100" t="s">
        <v>159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</row>
    <row r="27" spans="1:28" ht="23" customHeight="1" thickTop="1">
      <c r="A27" s="144" t="s">
        <v>54</v>
      </c>
      <c r="B27" s="128" t="s">
        <v>170</v>
      </c>
      <c r="C27" s="121" t="s">
        <v>171</v>
      </c>
      <c r="D27" s="122"/>
      <c r="E27" s="123"/>
      <c r="F27" s="127">
        <v>1</v>
      </c>
      <c r="G27" s="228" t="s">
        <v>42</v>
      </c>
      <c r="H27" s="229"/>
      <c r="I27" s="140">
        <f>(F27+F29)*2</f>
        <v>4</v>
      </c>
      <c r="J27" s="135"/>
      <c r="K27" s="118" t="str">
        <f>IF(I27 = 4,"destacado", IF(I27 = 3, "solido", IF( I27 = 2, "básico","incipiente")))</f>
        <v>destacado</v>
      </c>
      <c r="L27" s="118" t="s">
        <v>162</v>
      </c>
    </row>
    <row r="28" spans="1:28" ht="15.75" customHeight="1" thickBot="1">
      <c r="A28" s="129"/>
      <c r="B28" s="129"/>
      <c r="C28" s="124"/>
      <c r="D28" s="125"/>
      <c r="E28" s="126"/>
      <c r="F28" s="124"/>
      <c r="G28" s="230"/>
      <c r="H28" s="231"/>
      <c r="I28" s="136"/>
      <c r="J28" s="137"/>
      <c r="K28" s="119"/>
      <c r="L28" s="119"/>
    </row>
    <row r="29" spans="1:28" ht="15.75" customHeight="1" thickTop="1">
      <c r="A29" s="129"/>
      <c r="B29" s="129"/>
      <c r="C29" s="121" t="s">
        <v>172</v>
      </c>
      <c r="D29" s="122"/>
      <c r="E29" s="123"/>
      <c r="F29" s="127">
        <v>1</v>
      </c>
      <c r="G29" s="230"/>
      <c r="H29" s="231"/>
      <c r="I29" s="136"/>
      <c r="J29" s="137"/>
      <c r="K29" s="119"/>
      <c r="L29" s="119"/>
    </row>
    <row r="30" spans="1:28" ht="15.75" customHeight="1" thickBot="1">
      <c r="A30" s="129"/>
      <c r="B30" s="130"/>
      <c r="C30" s="124"/>
      <c r="D30" s="125"/>
      <c r="E30" s="126"/>
      <c r="F30" s="124"/>
      <c r="G30" s="232"/>
      <c r="H30" s="233"/>
      <c r="I30" s="138"/>
      <c r="J30" s="139"/>
      <c r="K30" s="120"/>
      <c r="L30" s="120"/>
    </row>
    <row r="31" spans="1:28" ht="15.75" customHeight="1" thickTop="1" thickBot="1">
      <c r="A31" s="129"/>
      <c r="B31" s="128" t="s">
        <v>173</v>
      </c>
      <c r="C31" s="131" t="s">
        <v>174</v>
      </c>
      <c r="D31" s="132"/>
      <c r="E31" s="133"/>
      <c r="F31" s="102">
        <v>1</v>
      </c>
      <c r="G31" s="134" t="s">
        <v>45</v>
      </c>
      <c r="H31" s="135"/>
      <c r="I31" s="140">
        <f>F31+F32+F33+F34+F35-1</f>
        <v>4</v>
      </c>
      <c r="J31" s="135"/>
      <c r="K31" s="118" t="str">
        <f>IF(I31 = 4,"destacado", IF(I31 = 3, "solido", IF( I31 = 2, "básico","incipiente")))</f>
        <v>destacado</v>
      </c>
      <c r="L31" s="118" t="s">
        <v>175</v>
      </c>
    </row>
    <row r="32" spans="1:28" ht="15.75" customHeight="1" thickTop="1" thickBot="1">
      <c r="A32" s="129"/>
      <c r="B32" s="129"/>
      <c r="C32" s="131" t="s">
        <v>176</v>
      </c>
      <c r="D32" s="132"/>
      <c r="E32" s="133"/>
      <c r="F32" s="102">
        <v>1</v>
      </c>
      <c r="G32" s="136"/>
      <c r="H32" s="137"/>
      <c r="I32" s="136"/>
      <c r="J32" s="137"/>
      <c r="K32" s="119"/>
      <c r="L32" s="119"/>
    </row>
    <row r="33" spans="1:12" ht="15.75" customHeight="1">
      <c r="A33" s="129"/>
      <c r="B33" s="129"/>
      <c r="C33" s="131" t="s">
        <v>177</v>
      </c>
      <c r="D33" s="132"/>
      <c r="E33" s="133"/>
      <c r="F33" s="102">
        <v>1</v>
      </c>
      <c r="G33" s="136"/>
      <c r="H33" s="137"/>
      <c r="I33" s="136"/>
      <c r="J33" s="137"/>
      <c r="K33" s="119"/>
      <c r="L33" s="119"/>
    </row>
    <row r="34" spans="1:12" ht="15.75" customHeight="1">
      <c r="A34" s="129"/>
      <c r="B34" s="129"/>
      <c r="C34" s="131" t="s">
        <v>178</v>
      </c>
      <c r="D34" s="132"/>
      <c r="E34" s="133"/>
      <c r="F34" s="102">
        <v>1</v>
      </c>
      <c r="G34" s="136"/>
      <c r="H34" s="137"/>
      <c r="I34" s="136"/>
      <c r="J34" s="137"/>
      <c r="K34" s="119"/>
      <c r="L34" s="119"/>
    </row>
    <row r="35" spans="1:12" ht="18" customHeight="1" thickTop="1" thickBot="1">
      <c r="A35" s="129"/>
      <c r="B35" s="130"/>
      <c r="C35" s="131" t="s">
        <v>179</v>
      </c>
      <c r="D35" s="132"/>
      <c r="E35" s="133"/>
      <c r="F35" s="102">
        <v>1</v>
      </c>
      <c r="G35" s="138"/>
      <c r="H35" s="139"/>
      <c r="I35" s="138"/>
      <c r="J35" s="139"/>
      <c r="K35" s="120"/>
      <c r="L35" s="120"/>
    </row>
    <row r="36" spans="1:12" ht="26" customHeight="1" thickTop="1" thickBot="1">
      <c r="A36" s="129"/>
      <c r="B36" s="141" t="s">
        <v>180</v>
      </c>
      <c r="C36" s="148" t="s">
        <v>181</v>
      </c>
      <c r="D36" s="132"/>
      <c r="E36" s="133"/>
      <c r="F36" s="102">
        <v>1</v>
      </c>
      <c r="G36" s="234" t="s">
        <v>53</v>
      </c>
      <c r="H36" s="235"/>
      <c r="I36" s="140">
        <f>(F36+F37)*2</f>
        <v>4</v>
      </c>
      <c r="J36" s="135"/>
      <c r="K36" s="118" t="str">
        <f>IF(I36= 4,"destacado",IF(I36 = 3, "solido", IF( I36 = 2, "básico","incipiente")))</f>
        <v>destacado</v>
      </c>
      <c r="L36" s="118" t="s">
        <v>182</v>
      </c>
    </row>
    <row r="37" spans="1:12" ht="14" thickTop="1">
      <c r="A37" s="129"/>
      <c r="B37" s="129"/>
      <c r="C37" s="152" t="s">
        <v>183</v>
      </c>
      <c r="D37" s="122"/>
      <c r="E37" s="123"/>
      <c r="F37" s="127">
        <v>1</v>
      </c>
      <c r="G37" s="236"/>
      <c r="H37" s="237"/>
      <c r="I37" s="136"/>
      <c r="J37" s="137"/>
      <c r="K37" s="119"/>
      <c r="L37" s="119"/>
    </row>
    <row r="38" spans="1:12" ht="14" thickBot="1">
      <c r="A38" s="130"/>
      <c r="B38" s="130"/>
      <c r="C38" s="124"/>
      <c r="D38" s="125"/>
      <c r="E38" s="126"/>
      <c r="F38" s="124"/>
      <c r="G38" s="238"/>
      <c r="H38" s="239"/>
      <c r="I38" s="138"/>
      <c r="J38" s="139"/>
      <c r="K38" s="120"/>
      <c r="L38" s="120"/>
    </row>
    <row r="39" spans="1:12" ht="15.75" customHeight="1" thickTop="1">
      <c r="F39" s="98"/>
      <c r="G39" s="149" t="s">
        <v>212</v>
      </c>
      <c r="H39" s="150"/>
      <c r="I39" s="153">
        <f>SUM(I27:J38)/3*25</f>
        <v>100</v>
      </c>
      <c r="J39" s="154"/>
      <c r="K39" s="150"/>
      <c r="L39" s="103" t="s">
        <v>169</v>
      </c>
    </row>
    <row r="40" spans="1:12" ht="15.75" customHeight="1">
      <c r="F40" s="98"/>
      <c r="K40" s="6"/>
      <c r="L40" s="6"/>
    </row>
    <row r="41" spans="1:12" ht="15.75" customHeight="1">
      <c r="F41" s="98"/>
      <c r="K41" s="6"/>
      <c r="L41" s="6"/>
    </row>
    <row r="42" spans="1:12" ht="28" customHeight="1">
      <c r="A42" s="105" t="s">
        <v>184</v>
      </c>
      <c r="B42" s="106" t="s">
        <v>185</v>
      </c>
      <c r="C42" s="107" t="s">
        <v>186</v>
      </c>
      <c r="D42" s="107" t="s">
        <v>187</v>
      </c>
      <c r="E42" s="151" t="s">
        <v>156</v>
      </c>
      <c r="F42" s="133"/>
      <c r="K42" s="6"/>
      <c r="L42" s="6"/>
    </row>
    <row r="43" spans="1:12" ht="40" customHeight="1">
      <c r="A43" s="142" t="s">
        <v>188</v>
      </c>
      <c r="B43" s="143" t="s">
        <v>189</v>
      </c>
      <c r="C43" s="108" t="s">
        <v>190</v>
      </c>
      <c r="D43" s="41">
        <v>1</v>
      </c>
      <c r="E43" s="240" t="s">
        <v>47</v>
      </c>
      <c r="F43" s="241"/>
      <c r="G43" s="109"/>
      <c r="K43" s="6"/>
      <c r="L43" s="6"/>
    </row>
    <row r="44" spans="1:12" ht="39" customHeight="1">
      <c r="A44" s="129"/>
      <c r="B44" s="130"/>
      <c r="C44" s="108" t="s">
        <v>191</v>
      </c>
      <c r="D44" s="41">
        <v>1</v>
      </c>
      <c r="E44" s="242"/>
      <c r="F44" s="243"/>
      <c r="G44" s="109"/>
      <c r="K44" s="6"/>
      <c r="L44" s="6"/>
    </row>
    <row r="45" spans="1:12" ht="42" customHeight="1">
      <c r="A45" s="129"/>
      <c r="B45" s="143" t="s">
        <v>192</v>
      </c>
      <c r="C45" s="108" t="s">
        <v>193</v>
      </c>
      <c r="D45" s="41">
        <v>1</v>
      </c>
      <c r="E45" s="244" t="s">
        <v>53</v>
      </c>
      <c r="F45" s="245"/>
      <c r="K45" s="6"/>
      <c r="L45" s="6"/>
    </row>
    <row r="46" spans="1:12" ht="35" customHeight="1">
      <c r="A46" s="129"/>
      <c r="B46" s="129"/>
      <c r="C46" s="108" t="s">
        <v>194</v>
      </c>
      <c r="D46" s="41">
        <v>1</v>
      </c>
      <c r="E46" s="246"/>
      <c r="F46" s="247"/>
      <c r="K46" s="6"/>
      <c r="L46" s="6"/>
    </row>
    <row r="47" spans="1:12" ht="34" customHeight="1">
      <c r="A47" s="129"/>
      <c r="B47" s="130"/>
      <c r="C47" s="108" t="s">
        <v>195</v>
      </c>
      <c r="D47" s="41">
        <v>1</v>
      </c>
      <c r="E47" s="246"/>
      <c r="F47" s="247"/>
      <c r="K47" s="6"/>
      <c r="L47" s="6"/>
    </row>
    <row r="48" spans="1:12" ht="42">
      <c r="A48" s="129"/>
      <c r="B48" s="143" t="s">
        <v>196</v>
      </c>
      <c r="C48" s="108" t="s">
        <v>197</v>
      </c>
      <c r="D48" s="41">
        <v>1</v>
      </c>
      <c r="E48" s="246"/>
      <c r="F48" s="247"/>
      <c r="I48" s="146" t="s">
        <v>198</v>
      </c>
      <c r="J48" s="147"/>
      <c r="K48" s="6"/>
      <c r="L48" s="6"/>
    </row>
    <row r="49" spans="1:12" ht="28">
      <c r="A49" s="129"/>
      <c r="B49" s="129"/>
      <c r="C49" s="108" t="s">
        <v>199</v>
      </c>
      <c r="D49" s="41">
        <v>1</v>
      </c>
      <c r="E49" s="246"/>
      <c r="F49" s="247"/>
      <c r="I49" s="110" t="s">
        <v>38</v>
      </c>
      <c r="J49" s="111" t="s">
        <v>200</v>
      </c>
      <c r="K49" s="6"/>
      <c r="L49" s="6"/>
    </row>
    <row r="50" spans="1:12" ht="28">
      <c r="A50" s="129"/>
      <c r="B50" s="130"/>
      <c r="C50" s="108" t="s">
        <v>201</v>
      </c>
      <c r="D50" s="41">
        <v>1</v>
      </c>
      <c r="E50" s="246"/>
      <c r="F50" s="247"/>
      <c r="I50" s="110" t="s">
        <v>54</v>
      </c>
      <c r="J50" s="111" t="s">
        <v>200</v>
      </c>
      <c r="K50" s="6"/>
      <c r="L50" s="6"/>
    </row>
    <row r="51" spans="1:12" ht="14">
      <c r="A51" s="129"/>
      <c r="B51" s="143" t="s">
        <v>202</v>
      </c>
      <c r="C51" s="108" t="s">
        <v>203</v>
      </c>
      <c r="D51" s="41">
        <v>1</v>
      </c>
      <c r="E51" s="246"/>
      <c r="F51" s="247"/>
      <c r="I51" s="112" t="s">
        <v>53</v>
      </c>
      <c r="J51" s="113" t="s">
        <v>204</v>
      </c>
      <c r="K51" s="6"/>
      <c r="L51" s="6"/>
    </row>
    <row r="52" spans="1:12" ht="28">
      <c r="A52" s="129"/>
      <c r="B52" s="130"/>
      <c r="C52" s="108" t="s">
        <v>205</v>
      </c>
      <c r="D52" s="41">
        <v>1</v>
      </c>
      <c r="E52" s="248"/>
      <c r="F52" s="249"/>
      <c r="I52" s="114" t="s">
        <v>206</v>
      </c>
      <c r="J52" s="114">
        <f>I24*0.3+I39*0.3+D54*0.4</f>
        <v>100</v>
      </c>
      <c r="K52" s="6"/>
      <c r="L52" s="6"/>
    </row>
    <row r="53" spans="1:12" ht="28">
      <c r="A53" s="130"/>
      <c r="B53" s="115" t="s">
        <v>207</v>
      </c>
      <c r="C53" s="108" t="s">
        <v>208</v>
      </c>
      <c r="D53" s="41">
        <v>1</v>
      </c>
      <c r="E53" s="250" t="s">
        <v>50</v>
      </c>
      <c r="F53" s="251"/>
      <c r="K53" s="6"/>
      <c r="L53" s="6"/>
    </row>
    <row r="54" spans="1:12" ht="13">
      <c r="A54" s="97"/>
      <c r="B54" s="97"/>
      <c r="C54" s="116" t="s">
        <v>209</v>
      </c>
      <c r="D54" s="117">
        <f>SUM(D43:D53) / 11 *100</f>
        <v>100</v>
      </c>
      <c r="F54" s="98"/>
      <c r="K54" s="6"/>
      <c r="L54" s="6"/>
    </row>
    <row r="55" spans="1:12" ht="13">
      <c r="A55" s="97"/>
      <c r="B55" s="97"/>
      <c r="D55" s="117">
        <f>SUM(D43:D53) / 11 *20</f>
        <v>20</v>
      </c>
      <c r="F55" s="98"/>
      <c r="K55" s="6"/>
      <c r="L55" s="6"/>
    </row>
    <row r="56" spans="1:12" ht="13">
      <c r="A56" s="97"/>
      <c r="B56" s="97"/>
      <c r="F56" s="98"/>
      <c r="K56" s="6"/>
      <c r="L56" s="6"/>
    </row>
    <row r="57" spans="1:12" ht="13">
      <c r="A57" s="97"/>
      <c r="B57" s="97"/>
      <c r="F57" s="98"/>
      <c r="K57" s="6"/>
      <c r="L57" s="6"/>
    </row>
    <row r="58" spans="1:12" ht="13">
      <c r="A58" s="97"/>
      <c r="B58" s="97"/>
      <c r="F58" s="98"/>
      <c r="K58" s="6"/>
      <c r="L58" s="6"/>
    </row>
    <row r="59" spans="1:12" ht="13">
      <c r="A59" s="97"/>
      <c r="B59" s="97"/>
      <c r="F59" s="98"/>
      <c r="K59" s="6"/>
      <c r="L59" s="6"/>
    </row>
    <row r="60" spans="1:12" ht="13">
      <c r="A60" s="97"/>
      <c r="B60" s="97"/>
      <c r="F60" s="98"/>
      <c r="K60" s="6"/>
      <c r="L60" s="6"/>
    </row>
    <row r="61" spans="1:12" ht="13">
      <c r="A61" s="97"/>
      <c r="B61" s="97"/>
      <c r="F61" s="98"/>
      <c r="K61" s="6"/>
      <c r="L61" s="6"/>
    </row>
    <row r="62" spans="1:12" ht="13">
      <c r="A62" s="97"/>
      <c r="B62" s="97"/>
      <c r="F62" s="98"/>
      <c r="K62" s="6"/>
      <c r="L62" s="6"/>
    </row>
    <row r="63" spans="1:12" ht="13">
      <c r="A63" s="97"/>
      <c r="B63" s="97"/>
      <c r="F63" s="98"/>
      <c r="K63" s="6"/>
      <c r="L63" s="6"/>
    </row>
    <row r="64" spans="1:12" ht="13">
      <c r="A64" s="97"/>
      <c r="B64" s="97"/>
      <c r="F64" s="98"/>
      <c r="K64" s="6"/>
      <c r="L64" s="6"/>
    </row>
    <row r="65" spans="1:12" ht="13">
      <c r="A65" s="97"/>
      <c r="B65" s="97"/>
      <c r="F65" s="98"/>
      <c r="K65" s="6"/>
      <c r="L65" s="6"/>
    </row>
    <row r="66" spans="1:12" ht="13">
      <c r="A66" s="97"/>
      <c r="B66" s="97"/>
      <c r="F66" s="98"/>
      <c r="K66" s="6"/>
      <c r="L66" s="6"/>
    </row>
    <row r="67" spans="1:12" ht="13">
      <c r="A67" s="97"/>
      <c r="B67" s="97"/>
      <c r="F67" s="98"/>
      <c r="K67" s="6"/>
      <c r="L67" s="6"/>
    </row>
    <row r="68" spans="1:12" ht="13">
      <c r="A68" s="97"/>
      <c r="B68" s="97"/>
      <c r="F68" s="98"/>
      <c r="K68" s="6"/>
      <c r="L68" s="6"/>
    </row>
    <row r="69" spans="1:12" ht="13">
      <c r="A69" s="97"/>
      <c r="B69" s="97"/>
      <c r="F69" s="98"/>
      <c r="K69" s="6"/>
      <c r="L69" s="6"/>
    </row>
    <row r="70" spans="1:12" ht="13">
      <c r="A70" s="97"/>
      <c r="B70" s="97"/>
      <c r="F70" s="98"/>
      <c r="K70" s="6"/>
      <c r="L70" s="6"/>
    </row>
    <row r="71" spans="1:12" ht="13">
      <c r="A71" s="97"/>
      <c r="B71" s="97"/>
      <c r="F71" s="98"/>
      <c r="K71" s="6"/>
      <c r="L71" s="6"/>
    </row>
    <row r="72" spans="1:12" ht="13">
      <c r="A72" s="97"/>
      <c r="B72" s="97"/>
      <c r="F72" s="98"/>
      <c r="K72" s="6"/>
      <c r="L72" s="6"/>
    </row>
    <row r="73" spans="1:12" ht="13">
      <c r="A73" s="97"/>
      <c r="B73" s="97"/>
      <c r="F73" s="98"/>
      <c r="K73" s="6"/>
      <c r="L73" s="6"/>
    </row>
    <row r="74" spans="1:12" ht="13">
      <c r="A74" s="97"/>
      <c r="B74" s="97"/>
      <c r="F74" s="98"/>
      <c r="K74" s="6"/>
      <c r="L74" s="6"/>
    </row>
    <row r="75" spans="1:12" ht="13">
      <c r="A75" s="97"/>
      <c r="B75" s="97"/>
      <c r="F75" s="98"/>
      <c r="K75" s="6"/>
      <c r="L75" s="6"/>
    </row>
    <row r="76" spans="1:12" ht="13">
      <c r="A76" s="97"/>
      <c r="B76" s="97"/>
      <c r="F76" s="98"/>
      <c r="K76" s="6"/>
      <c r="L76" s="6"/>
    </row>
    <row r="77" spans="1:12" ht="13">
      <c r="A77" s="97"/>
      <c r="B77" s="97"/>
      <c r="F77" s="98"/>
      <c r="K77" s="6"/>
      <c r="L77" s="6"/>
    </row>
    <row r="78" spans="1:12" ht="13">
      <c r="A78" s="97"/>
      <c r="B78" s="97"/>
      <c r="F78" s="98"/>
      <c r="K78" s="6"/>
      <c r="L78" s="6"/>
    </row>
    <row r="79" spans="1:12" ht="13">
      <c r="A79" s="97"/>
      <c r="B79" s="97"/>
      <c r="F79" s="98"/>
      <c r="K79" s="6"/>
      <c r="L79" s="6"/>
    </row>
    <row r="80" spans="1:12" ht="13">
      <c r="A80" s="97"/>
      <c r="B80" s="97"/>
      <c r="F80" s="98"/>
      <c r="K80" s="6"/>
      <c r="L80" s="6"/>
    </row>
    <row r="81" spans="1:12" ht="13">
      <c r="A81" s="97"/>
      <c r="B81" s="97"/>
      <c r="F81" s="98"/>
      <c r="K81" s="6"/>
      <c r="L81" s="6"/>
    </row>
    <row r="82" spans="1:12" ht="13">
      <c r="A82" s="97"/>
      <c r="B82" s="97"/>
      <c r="F82" s="98"/>
      <c r="K82" s="6"/>
      <c r="L82" s="6"/>
    </row>
    <row r="83" spans="1:12" ht="13">
      <c r="A83" s="97"/>
      <c r="B83" s="97"/>
      <c r="F83" s="98"/>
      <c r="K83" s="6"/>
      <c r="L83" s="6"/>
    </row>
    <row r="84" spans="1:12" ht="13">
      <c r="A84" s="97"/>
      <c r="B84" s="97"/>
      <c r="F84" s="98"/>
      <c r="K84" s="6"/>
      <c r="L84" s="6"/>
    </row>
    <row r="85" spans="1:12" ht="13">
      <c r="A85" s="97"/>
      <c r="B85" s="97"/>
      <c r="F85" s="98"/>
      <c r="K85" s="6"/>
      <c r="L85" s="6"/>
    </row>
    <row r="86" spans="1:12" ht="13">
      <c r="A86" s="97"/>
      <c r="B86" s="97"/>
      <c r="F86" s="98"/>
      <c r="K86" s="6"/>
      <c r="L86" s="6"/>
    </row>
    <row r="87" spans="1:12" ht="13">
      <c r="A87" s="97"/>
      <c r="B87" s="97"/>
      <c r="F87" s="98"/>
      <c r="K87" s="6"/>
      <c r="L87" s="6"/>
    </row>
    <row r="88" spans="1:12" ht="13">
      <c r="A88" s="97"/>
      <c r="B88" s="97"/>
      <c r="F88" s="98"/>
      <c r="K88" s="6"/>
      <c r="L88" s="6"/>
    </row>
    <row r="89" spans="1:12" ht="13">
      <c r="A89" s="97"/>
      <c r="B89" s="97"/>
      <c r="F89" s="98"/>
      <c r="K89" s="6"/>
      <c r="L89" s="6"/>
    </row>
    <row r="90" spans="1:12" ht="13">
      <c r="A90" s="97"/>
      <c r="B90" s="97"/>
      <c r="F90" s="98"/>
      <c r="K90" s="6"/>
      <c r="L90" s="6"/>
    </row>
    <row r="91" spans="1:12" ht="13">
      <c r="A91" s="97"/>
      <c r="B91" s="97"/>
      <c r="F91" s="98"/>
      <c r="K91" s="6"/>
      <c r="L91" s="6"/>
    </row>
    <row r="92" spans="1:12" ht="13">
      <c r="A92" s="97"/>
      <c r="B92" s="97"/>
      <c r="F92" s="98"/>
      <c r="K92" s="6"/>
      <c r="L92" s="6"/>
    </row>
    <row r="93" spans="1:12" ht="13">
      <c r="A93" s="97"/>
      <c r="B93" s="97"/>
      <c r="F93" s="98"/>
      <c r="K93" s="6"/>
      <c r="L93" s="6"/>
    </row>
    <row r="94" spans="1:12" ht="13">
      <c r="A94" s="97"/>
      <c r="B94" s="97"/>
      <c r="F94" s="98"/>
      <c r="K94" s="6"/>
      <c r="L94" s="6"/>
    </row>
    <row r="95" spans="1:12" ht="13">
      <c r="A95" s="97"/>
      <c r="B95" s="97"/>
      <c r="F95" s="98"/>
      <c r="K95" s="6"/>
      <c r="L95" s="6"/>
    </row>
    <row r="96" spans="1:12" ht="13">
      <c r="A96" s="97"/>
      <c r="B96" s="97"/>
      <c r="F96" s="98"/>
      <c r="K96" s="6"/>
      <c r="L96" s="6"/>
    </row>
    <row r="97" spans="1:12" ht="13">
      <c r="A97" s="97"/>
      <c r="B97" s="97"/>
      <c r="F97" s="98"/>
      <c r="K97" s="6"/>
      <c r="L97" s="6"/>
    </row>
    <row r="98" spans="1:12" ht="13">
      <c r="A98" s="97"/>
      <c r="B98" s="97"/>
      <c r="F98" s="98"/>
      <c r="K98" s="6"/>
      <c r="L98" s="6"/>
    </row>
    <row r="99" spans="1:12" ht="13">
      <c r="A99" s="97"/>
      <c r="B99" s="97"/>
      <c r="F99" s="98"/>
      <c r="K99" s="6"/>
      <c r="L99" s="6"/>
    </row>
    <row r="100" spans="1:12" ht="13">
      <c r="A100" s="97"/>
      <c r="B100" s="97"/>
      <c r="F100" s="98"/>
      <c r="K100" s="6"/>
      <c r="L100" s="6"/>
    </row>
    <row r="101" spans="1:12" ht="13">
      <c r="A101" s="97"/>
      <c r="B101" s="97"/>
      <c r="F101" s="98"/>
      <c r="K101" s="6"/>
      <c r="L101" s="6"/>
    </row>
    <row r="102" spans="1:12" ht="13">
      <c r="A102" s="97"/>
      <c r="B102" s="97"/>
      <c r="F102" s="98"/>
      <c r="K102" s="6"/>
      <c r="L102" s="6"/>
    </row>
    <row r="103" spans="1:12" ht="13">
      <c r="A103" s="97"/>
      <c r="B103" s="97"/>
      <c r="F103" s="98"/>
      <c r="K103" s="6"/>
      <c r="L103" s="6"/>
    </row>
    <row r="104" spans="1:12" ht="13">
      <c r="A104" s="97"/>
      <c r="B104" s="97"/>
      <c r="F104" s="98"/>
      <c r="K104" s="6"/>
      <c r="L104" s="6"/>
    </row>
    <row r="105" spans="1:12" ht="13">
      <c r="A105" s="97"/>
      <c r="B105" s="97"/>
      <c r="F105" s="98"/>
      <c r="K105" s="6"/>
      <c r="L105" s="6"/>
    </row>
    <row r="106" spans="1:12" ht="13">
      <c r="A106" s="97"/>
      <c r="B106" s="97"/>
      <c r="F106" s="98"/>
      <c r="K106" s="6"/>
      <c r="L106" s="6"/>
    </row>
    <row r="107" spans="1:12" ht="13">
      <c r="A107" s="97"/>
      <c r="B107" s="97"/>
      <c r="F107" s="98"/>
      <c r="K107" s="6"/>
      <c r="L107" s="6"/>
    </row>
    <row r="108" spans="1:12" ht="13">
      <c r="A108" s="97"/>
      <c r="B108" s="97"/>
      <c r="F108" s="98"/>
      <c r="K108" s="6"/>
      <c r="L108" s="6"/>
    </row>
    <row r="109" spans="1:12" ht="13">
      <c r="A109" s="97"/>
      <c r="B109" s="97"/>
      <c r="F109" s="98"/>
      <c r="K109" s="6"/>
      <c r="L109" s="6"/>
    </row>
    <row r="110" spans="1:12" ht="13">
      <c r="A110" s="97"/>
      <c r="B110" s="97"/>
      <c r="F110" s="98"/>
      <c r="K110" s="6"/>
      <c r="L110" s="6"/>
    </row>
    <row r="111" spans="1:12" ht="13">
      <c r="A111" s="97"/>
      <c r="B111" s="97"/>
      <c r="F111" s="98"/>
      <c r="K111" s="6"/>
      <c r="L111" s="6"/>
    </row>
    <row r="112" spans="1:12" ht="13">
      <c r="A112" s="97"/>
      <c r="B112" s="97"/>
      <c r="F112" s="98"/>
      <c r="K112" s="6"/>
      <c r="L112" s="6"/>
    </row>
    <row r="113" spans="1:12" ht="13">
      <c r="A113" s="97"/>
      <c r="B113" s="97"/>
      <c r="F113" s="98"/>
      <c r="K113" s="6"/>
      <c r="L113" s="6"/>
    </row>
    <row r="114" spans="1:12" ht="13">
      <c r="A114" s="97"/>
      <c r="B114" s="97"/>
      <c r="F114" s="98"/>
      <c r="K114" s="6"/>
      <c r="L114" s="6"/>
    </row>
    <row r="115" spans="1:12" ht="13">
      <c r="A115" s="97"/>
      <c r="B115" s="97"/>
      <c r="F115" s="98"/>
      <c r="K115" s="6"/>
      <c r="L115" s="6"/>
    </row>
    <row r="116" spans="1:12" ht="13">
      <c r="A116" s="97"/>
      <c r="B116" s="97"/>
      <c r="F116" s="98"/>
      <c r="K116" s="6"/>
      <c r="L116" s="6"/>
    </row>
    <row r="117" spans="1:12" ht="13">
      <c r="A117" s="97"/>
      <c r="B117" s="97"/>
      <c r="F117" s="98"/>
      <c r="K117" s="6"/>
      <c r="L117" s="6"/>
    </row>
    <row r="118" spans="1:12" ht="13">
      <c r="A118" s="97"/>
      <c r="B118" s="97"/>
      <c r="F118" s="98"/>
      <c r="K118" s="6"/>
      <c r="L118" s="6"/>
    </row>
    <row r="119" spans="1:12" ht="13">
      <c r="A119" s="97"/>
      <c r="B119" s="97"/>
      <c r="F119" s="98"/>
      <c r="K119" s="6"/>
      <c r="L119" s="6"/>
    </row>
    <row r="120" spans="1:12" ht="13">
      <c r="A120" s="97"/>
      <c r="B120" s="97"/>
      <c r="F120" s="98"/>
      <c r="K120" s="6"/>
      <c r="L120" s="6"/>
    </row>
    <row r="121" spans="1:12" ht="13">
      <c r="A121" s="97"/>
      <c r="B121" s="97"/>
      <c r="F121" s="98"/>
      <c r="K121" s="6"/>
      <c r="L121" s="6"/>
    </row>
    <row r="122" spans="1:12" ht="13">
      <c r="A122" s="97"/>
      <c r="B122" s="97"/>
      <c r="F122" s="98"/>
      <c r="K122" s="6"/>
      <c r="L122" s="6"/>
    </row>
    <row r="123" spans="1:12" ht="13">
      <c r="A123" s="97"/>
      <c r="B123" s="97"/>
      <c r="F123" s="98"/>
      <c r="K123" s="6"/>
      <c r="L123" s="6"/>
    </row>
    <row r="124" spans="1:12" ht="13">
      <c r="A124" s="97"/>
      <c r="B124" s="97"/>
      <c r="F124" s="98"/>
      <c r="K124" s="6"/>
      <c r="L124" s="6"/>
    </row>
    <row r="125" spans="1:12" ht="13">
      <c r="A125" s="97"/>
      <c r="B125" s="97"/>
      <c r="F125" s="98"/>
      <c r="K125" s="6"/>
      <c r="L125" s="6"/>
    </row>
    <row r="126" spans="1:12" ht="13">
      <c r="A126" s="97"/>
      <c r="B126" s="97"/>
      <c r="F126" s="98"/>
      <c r="K126" s="6"/>
      <c r="L126" s="6"/>
    </row>
    <row r="127" spans="1:12" ht="13">
      <c r="A127" s="97"/>
      <c r="B127" s="97"/>
      <c r="F127" s="98"/>
      <c r="K127" s="6"/>
      <c r="L127" s="6"/>
    </row>
    <row r="128" spans="1:12" ht="13">
      <c r="A128" s="97"/>
      <c r="B128" s="97"/>
      <c r="F128" s="98"/>
      <c r="K128" s="6"/>
      <c r="L128" s="6"/>
    </row>
    <row r="129" spans="1:12" ht="13">
      <c r="A129" s="97"/>
      <c r="B129" s="97"/>
      <c r="F129" s="98"/>
      <c r="K129" s="6"/>
      <c r="L129" s="6"/>
    </row>
    <row r="130" spans="1:12" ht="13">
      <c r="A130" s="97"/>
      <c r="B130" s="97"/>
      <c r="F130" s="98"/>
      <c r="K130" s="6"/>
      <c r="L130" s="6"/>
    </row>
    <row r="131" spans="1:12" ht="13">
      <c r="A131" s="97"/>
      <c r="B131" s="97"/>
      <c r="F131" s="98"/>
      <c r="K131" s="6"/>
      <c r="L131" s="6"/>
    </row>
    <row r="132" spans="1:12" ht="13">
      <c r="A132" s="97"/>
      <c r="B132" s="97"/>
      <c r="F132" s="98"/>
      <c r="K132" s="6"/>
      <c r="L132" s="6"/>
    </row>
    <row r="133" spans="1:12" ht="13">
      <c r="A133" s="97"/>
      <c r="B133" s="97"/>
      <c r="F133" s="98"/>
      <c r="K133" s="6"/>
      <c r="L133" s="6"/>
    </row>
    <row r="134" spans="1:12" ht="13">
      <c r="A134" s="97"/>
      <c r="B134" s="97"/>
      <c r="F134" s="98"/>
      <c r="K134" s="6"/>
      <c r="L134" s="6"/>
    </row>
    <row r="135" spans="1:12" ht="13">
      <c r="A135" s="97"/>
      <c r="B135" s="97"/>
      <c r="F135" s="98"/>
      <c r="K135" s="6"/>
      <c r="L135" s="6"/>
    </row>
    <row r="136" spans="1:12" ht="13">
      <c r="A136" s="97"/>
      <c r="B136" s="97"/>
      <c r="F136" s="98"/>
      <c r="K136" s="6"/>
      <c r="L136" s="6"/>
    </row>
    <row r="137" spans="1:12" ht="13">
      <c r="A137" s="97"/>
      <c r="B137" s="97"/>
      <c r="F137" s="98"/>
      <c r="K137" s="6"/>
      <c r="L137" s="6"/>
    </row>
    <row r="138" spans="1:12" ht="13">
      <c r="A138" s="97"/>
      <c r="B138" s="97"/>
      <c r="F138" s="98"/>
      <c r="K138" s="6"/>
      <c r="L138" s="6"/>
    </row>
    <row r="139" spans="1:12" ht="13">
      <c r="A139" s="97"/>
      <c r="B139" s="97"/>
      <c r="F139" s="98"/>
      <c r="K139" s="6"/>
      <c r="L139" s="6"/>
    </row>
    <row r="140" spans="1:12" ht="13">
      <c r="A140" s="97"/>
      <c r="B140" s="97"/>
      <c r="F140" s="98"/>
      <c r="K140" s="6"/>
      <c r="L140" s="6"/>
    </row>
    <row r="141" spans="1:12" ht="13">
      <c r="A141" s="97"/>
      <c r="B141" s="97"/>
      <c r="F141" s="98"/>
      <c r="K141" s="6"/>
      <c r="L141" s="6"/>
    </row>
    <row r="142" spans="1:12" ht="13">
      <c r="A142" s="97"/>
      <c r="B142" s="97"/>
      <c r="F142" s="98"/>
      <c r="K142" s="6"/>
      <c r="L142" s="6"/>
    </row>
    <row r="143" spans="1:12" ht="13">
      <c r="A143" s="97"/>
      <c r="B143" s="97"/>
      <c r="F143" s="98"/>
      <c r="K143" s="6"/>
      <c r="L143" s="6"/>
    </row>
    <row r="144" spans="1:12" ht="13">
      <c r="A144" s="97"/>
      <c r="B144" s="97"/>
      <c r="F144" s="98"/>
      <c r="K144" s="6"/>
      <c r="L144" s="6"/>
    </row>
    <row r="145" spans="1:12" ht="13">
      <c r="A145" s="97"/>
      <c r="B145" s="97"/>
      <c r="F145" s="98"/>
      <c r="K145" s="6"/>
      <c r="L145" s="6"/>
    </row>
    <row r="146" spans="1:12" ht="13">
      <c r="A146" s="97"/>
      <c r="B146" s="97"/>
      <c r="F146" s="98"/>
      <c r="K146" s="6"/>
      <c r="L146" s="6"/>
    </row>
    <row r="147" spans="1:12" ht="13">
      <c r="A147" s="97"/>
      <c r="B147" s="97"/>
      <c r="F147" s="98"/>
      <c r="K147" s="6"/>
      <c r="L147" s="6"/>
    </row>
    <row r="148" spans="1:12" ht="13">
      <c r="A148" s="97"/>
      <c r="B148" s="97"/>
      <c r="F148" s="98"/>
      <c r="K148" s="6"/>
      <c r="L148" s="6"/>
    </row>
    <row r="149" spans="1:12" ht="13">
      <c r="A149" s="97"/>
      <c r="B149" s="97"/>
      <c r="F149" s="98"/>
      <c r="K149" s="6"/>
      <c r="L149" s="6"/>
    </row>
    <row r="150" spans="1:12" ht="13">
      <c r="A150" s="97"/>
      <c r="B150" s="97"/>
      <c r="F150" s="98"/>
      <c r="K150" s="6"/>
      <c r="L150" s="6"/>
    </row>
    <row r="151" spans="1:12" ht="13">
      <c r="A151" s="97"/>
      <c r="B151" s="97"/>
      <c r="F151" s="98"/>
      <c r="K151" s="6"/>
      <c r="L151" s="6"/>
    </row>
    <row r="152" spans="1:12" ht="13">
      <c r="A152" s="97"/>
      <c r="B152" s="97"/>
      <c r="F152" s="98"/>
      <c r="K152" s="6"/>
      <c r="L152" s="6"/>
    </row>
    <row r="153" spans="1:12" ht="13">
      <c r="A153" s="97"/>
      <c r="B153" s="97"/>
      <c r="F153" s="98"/>
      <c r="K153" s="6"/>
      <c r="L153" s="6"/>
    </row>
    <row r="154" spans="1:12" ht="13">
      <c r="A154" s="97"/>
      <c r="B154" s="97"/>
      <c r="F154" s="98"/>
      <c r="K154" s="6"/>
      <c r="L154" s="6"/>
    </row>
    <row r="155" spans="1:12" ht="13">
      <c r="A155" s="97"/>
      <c r="B155" s="97"/>
      <c r="F155" s="98"/>
      <c r="K155" s="6"/>
      <c r="L155" s="6"/>
    </row>
    <row r="156" spans="1:12" ht="13">
      <c r="A156" s="97"/>
      <c r="B156" s="97"/>
      <c r="F156" s="98"/>
      <c r="K156" s="6"/>
      <c r="L156" s="6"/>
    </row>
    <row r="157" spans="1:12" ht="13">
      <c r="A157" s="97"/>
      <c r="B157" s="97"/>
      <c r="F157" s="98"/>
      <c r="K157" s="6"/>
      <c r="L157" s="6"/>
    </row>
    <row r="158" spans="1:12" ht="13">
      <c r="A158" s="97"/>
      <c r="B158" s="97"/>
      <c r="F158" s="98"/>
      <c r="K158" s="6"/>
      <c r="L158" s="6"/>
    </row>
    <row r="159" spans="1:12" ht="13">
      <c r="A159" s="97"/>
      <c r="B159" s="97"/>
      <c r="F159" s="98"/>
      <c r="K159" s="6"/>
      <c r="L159" s="6"/>
    </row>
    <row r="160" spans="1:12" ht="13">
      <c r="A160" s="97"/>
      <c r="B160" s="97"/>
      <c r="F160" s="98"/>
      <c r="K160" s="6"/>
      <c r="L160" s="6"/>
    </row>
    <row r="161" spans="1:12" ht="13">
      <c r="A161" s="97"/>
      <c r="B161" s="97"/>
      <c r="F161" s="98"/>
      <c r="K161" s="6"/>
      <c r="L161" s="6"/>
    </row>
    <row r="162" spans="1:12" ht="13">
      <c r="A162" s="97"/>
      <c r="B162" s="97"/>
      <c r="F162" s="98"/>
      <c r="K162" s="6"/>
      <c r="L162" s="6"/>
    </row>
    <row r="163" spans="1:12" ht="13">
      <c r="A163" s="97"/>
      <c r="B163" s="97"/>
      <c r="F163" s="98"/>
      <c r="K163" s="6"/>
      <c r="L163" s="6"/>
    </row>
    <row r="164" spans="1:12" ht="13">
      <c r="A164" s="97"/>
      <c r="B164" s="97"/>
      <c r="F164" s="98"/>
      <c r="K164" s="6"/>
      <c r="L164" s="6"/>
    </row>
    <row r="165" spans="1:12" ht="13">
      <c r="A165" s="97"/>
      <c r="B165" s="97"/>
      <c r="F165" s="98"/>
      <c r="K165" s="6"/>
      <c r="L165" s="6"/>
    </row>
    <row r="166" spans="1:12" ht="13">
      <c r="A166" s="97"/>
      <c r="B166" s="97"/>
      <c r="F166" s="98"/>
      <c r="K166" s="6"/>
      <c r="L166" s="6"/>
    </row>
    <row r="167" spans="1:12" ht="13">
      <c r="A167" s="97"/>
      <c r="B167" s="97"/>
      <c r="F167" s="98"/>
      <c r="K167" s="6"/>
      <c r="L167" s="6"/>
    </row>
    <row r="168" spans="1:12" ht="13">
      <c r="A168" s="97"/>
      <c r="B168" s="97"/>
      <c r="F168" s="98"/>
      <c r="K168" s="6"/>
      <c r="L168" s="6"/>
    </row>
    <row r="169" spans="1:12" ht="13">
      <c r="A169" s="97"/>
      <c r="B169" s="97"/>
      <c r="F169" s="98"/>
      <c r="K169" s="6"/>
      <c r="L169" s="6"/>
    </row>
    <row r="170" spans="1:12" ht="13">
      <c r="A170" s="97"/>
      <c r="B170" s="97"/>
      <c r="F170" s="98"/>
      <c r="K170" s="6"/>
      <c r="L170" s="6"/>
    </row>
    <row r="171" spans="1:12" ht="13">
      <c r="A171" s="97"/>
      <c r="B171" s="97"/>
      <c r="F171" s="98"/>
      <c r="K171" s="6"/>
      <c r="L171" s="6"/>
    </row>
    <row r="172" spans="1:12" ht="13">
      <c r="A172" s="97"/>
      <c r="B172" s="97"/>
      <c r="F172" s="98"/>
      <c r="K172" s="6"/>
      <c r="L172" s="6"/>
    </row>
    <row r="173" spans="1:12" ht="13">
      <c r="A173" s="97"/>
      <c r="B173" s="97"/>
      <c r="F173" s="98"/>
      <c r="K173" s="6"/>
      <c r="L173" s="6"/>
    </row>
    <row r="174" spans="1:12" ht="13">
      <c r="A174" s="97"/>
      <c r="B174" s="97"/>
      <c r="F174" s="98"/>
      <c r="K174" s="6"/>
      <c r="L174" s="6"/>
    </row>
    <row r="175" spans="1:12" ht="13">
      <c r="A175" s="97"/>
      <c r="B175" s="97"/>
      <c r="F175" s="98"/>
      <c r="K175" s="6"/>
      <c r="L175" s="6"/>
    </row>
    <row r="176" spans="1:12" ht="13">
      <c r="A176" s="97"/>
      <c r="B176" s="97"/>
      <c r="F176" s="98"/>
      <c r="K176" s="6"/>
      <c r="L176" s="6"/>
    </row>
    <row r="177" spans="1:12" ht="13">
      <c r="A177" s="97"/>
      <c r="B177" s="97"/>
      <c r="F177" s="98"/>
      <c r="K177" s="6"/>
      <c r="L177" s="6"/>
    </row>
    <row r="178" spans="1:12" ht="13">
      <c r="A178" s="97"/>
      <c r="B178" s="97"/>
      <c r="F178" s="98"/>
      <c r="K178" s="6"/>
      <c r="L178" s="6"/>
    </row>
    <row r="179" spans="1:12" ht="13">
      <c r="A179" s="97"/>
      <c r="B179" s="97"/>
      <c r="F179" s="98"/>
      <c r="K179" s="6"/>
      <c r="L179" s="6"/>
    </row>
    <row r="180" spans="1:12" ht="13">
      <c r="A180" s="97"/>
      <c r="B180" s="97"/>
      <c r="F180" s="98"/>
      <c r="K180" s="6"/>
      <c r="L180" s="6"/>
    </row>
    <row r="181" spans="1:12" ht="13">
      <c r="A181" s="97"/>
      <c r="B181" s="97"/>
      <c r="F181" s="98"/>
      <c r="K181" s="6"/>
      <c r="L181" s="6"/>
    </row>
    <row r="182" spans="1:12" ht="13">
      <c r="A182" s="97"/>
      <c r="B182" s="97"/>
      <c r="F182" s="98"/>
      <c r="K182" s="6"/>
      <c r="L182" s="6"/>
    </row>
    <row r="183" spans="1:12" ht="13">
      <c r="A183" s="97"/>
      <c r="B183" s="97"/>
      <c r="F183" s="98"/>
      <c r="K183" s="6"/>
      <c r="L183" s="6"/>
    </row>
    <row r="184" spans="1:12" ht="13">
      <c r="A184" s="97"/>
      <c r="B184" s="97"/>
      <c r="F184" s="98"/>
      <c r="K184" s="6"/>
      <c r="L184" s="6"/>
    </row>
    <row r="185" spans="1:12" ht="13">
      <c r="A185" s="97"/>
      <c r="B185" s="97"/>
      <c r="F185" s="98"/>
      <c r="K185" s="6"/>
      <c r="L185" s="6"/>
    </row>
    <row r="186" spans="1:12" ht="13">
      <c r="A186" s="97"/>
      <c r="B186" s="97"/>
      <c r="F186" s="98"/>
      <c r="K186" s="6"/>
      <c r="L186" s="6"/>
    </row>
    <row r="187" spans="1:12" ht="13">
      <c r="A187" s="97"/>
      <c r="B187" s="97"/>
      <c r="F187" s="98"/>
      <c r="K187" s="6"/>
      <c r="L187" s="6"/>
    </row>
    <row r="188" spans="1:12" ht="13">
      <c r="A188" s="97"/>
      <c r="B188" s="97"/>
      <c r="F188" s="98"/>
      <c r="K188" s="6"/>
      <c r="L188" s="6"/>
    </row>
    <row r="189" spans="1:12" ht="13">
      <c r="A189" s="97"/>
      <c r="B189" s="97"/>
      <c r="F189" s="98"/>
      <c r="K189" s="6"/>
      <c r="L189" s="6"/>
    </row>
    <row r="190" spans="1:12" ht="13">
      <c r="A190" s="97"/>
      <c r="B190" s="97"/>
      <c r="F190" s="98"/>
      <c r="K190" s="6"/>
      <c r="L190" s="6"/>
    </row>
    <row r="191" spans="1:12" ht="13">
      <c r="A191" s="97"/>
      <c r="B191" s="97"/>
      <c r="F191" s="98"/>
      <c r="K191" s="6"/>
      <c r="L191" s="6"/>
    </row>
    <row r="192" spans="1:12" ht="13">
      <c r="A192" s="97"/>
      <c r="B192" s="97"/>
      <c r="F192" s="98"/>
      <c r="K192" s="6"/>
      <c r="L192" s="6"/>
    </row>
    <row r="193" spans="1:12" ht="13">
      <c r="A193" s="97"/>
      <c r="B193" s="97"/>
      <c r="F193" s="98"/>
      <c r="K193" s="6"/>
      <c r="L193" s="6"/>
    </row>
    <row r="194" spans="1:12" ht="13">
      <c r="A194" s="97"/>
      <c r="B194" s="97"/>
      <c r="F194" s="98"/>
      <c r="K194" s="6"/>
      <c r="L194" s="6"/>
    </row>
    <row r="195" spans="1:12" ht="13">
      <c r="A195" s="97"/>
      <c r="B195" s="97"/>
      <c r="F195" s="98"/>
      <c r="K195" s="6"/>
      <c r="L195" s="6"/>
    </row>
    <row r="196" spans="1:12" ht="13">
      <c r="A196" s="97"/>
      <c r="B196" s="97"/>
      <c r="F196" s="98"/>
      <c r="K196" s="6"/>
      <c r="L196" s="6"/>
    </row>
    <row r="197" spans="1:12" ht="13">
      <c r="A197" s="97"/>
      <c r="B197" s="97"/>
      <c r="F197" s="98"/>
      <c r="K197" s="6"/>
      <c r="L197" s="6"/>
    </row>
    <row r="198" spans="1:12" ht="13">
      <c r="A198" s="97"/>
      <c r="B198" s="97"/>
      <c r="F198" s="98"/>
      <c r="K198" s="6"/>
      <c r="L198" s="6"/>
    </row>
    <row r="199" spans="1:12" ht="13">
      <c r="A199" s="97"/>
      <c r="B199" s="97"/>
      <c r="F199" s="98"/>
      <c r="K199" s="6"/>
      <c r="L199" s="6"/>
    </row>
    <row r="200" spans="1:12" ht="13">
      <c r="A200" s="97"/>
      <c r="B200" s="97"/>
      <c r="F200" s="98"/>
      <c r="K200" s="6"/>
      <c r="L200" s="6"/>
    </row>
    <row r="201" spans="1:12" ht="13">
      <c r="A201" s="97"/>
      <c r="B201" s="97"/>
      <c r="F201" s="98"/>
      <c r="K201" s="6"/>
      <c r="L201" s="6"/>
    </row>
    <row r="202" spans="1:12" ht="13">
      <c r="A202" s="97"/>
      <c r="B202" s="97"/>
      <c r="F202" s="98"/>
      <c r="K202" s="6"/>
      <c r="L202" s="6"/>
    </row>
    <row r="203" spans="1:12" ht="13">
      <c r="A203" s="97"/>
      <c r="B203" s="97"/>
      <c r="F203" s="98"/>
      <c r="K203" s="6"/>
      <c r="L203" s="6"/>
    </row>
    <row r="204" spans="1:12" ht="13">
      <c r="A204" s="97"/>
      <c r="B204" s="97"/>
      <c r="F204" s="98"/>
      <c r="K204" s="6"/>
      <c r="L204" s="6"/>
    </row>
    <row r="205" spans="1:12" ht="13">
      <c r="A205" s="97"/>
      <c r="B205" s="97"/>
      <c r="F205" s="98"/>
      <c r="K205" s="6"/>
      <c r="L205" s="6"/>
    </row>
    <row r="206" spans="1:12" ht="13">
      <c r="A206" s="97"/>
      <c r="B206" s="97"/>
      <c r="F206" s="98"/>
      <c r="K206" s="6"/>
      <c r="L206" s="6"/>
    </row>
    <row r="207" spans="1:12" ht="13">
      <c r="A207" s="97"/>
      <c r="B207" s="97"/>
      <c r="F207" s="98"/>
      <c r="K207" s="6"/>
      <c r="L207" s="6"/>
    </row>
    <row r="208" spans="1:12" ht="13">
      <c r="A208" s="97"/>
      <c r="B208" s="97"/>
      <c r="F208" s="98"/>
      <c r="K208" s="6"/>
      <c r="L208" s="6"/>
    </row>
    <row r="209" spans="1:12" ht="13">
      <c r="A209" s="97"/>
      <c r="B209" s="97"/>
      <c r="F209" s="98"/>
      <c r="K209" s="6"/>
      <c r="L209" s="6"/>
    </row>
    <row r="210" spans="1:12" ht="13">
      <c r="A210" s="97"/>
      <c r="B210" s="97"/>
      <c r="F210" s="98"/>
      <c r="K210" s="6"/>
      <c r="L210" s="6"/>
    </row>
    <row r="211" spans="1:12" ht="13">
      <c r="A211" s="97"/>
      <c r="B211" s="97"/>
      <c r="F211" s="98"/>
      <c r="K211" s="6"/>
      <c r="L211" s="6"/>
    </row>
    <row r="212" spans="1:12" ht="13">
      <c r="A212" s="97"/>
      <c r="B212" s="97"/>
      <c r="F212" s="98"/>
      <c r="K212" s="6"/>
      <c r="L212" s="6"/>
    </row>
    <row r="213" spans="1:12" ht="13">
      <c r="A213" s="97"/>
      <c r="B213" s="97"/>
      <c r="F213" s="98"/>
      <c r="K213" s="6"/>
      <c r="L213" s="6"/>
    </row>
    <row r="214" spans="1:12" ht="13">
      <c r="A214" s="97"/>
      <c r="B214" s="97"/>
      <c r="F214" s="98"/>
      <c r="K214" s="6"/>
      <c r="L214" s="6"/>
    </row>
    <row r="215" spans="1:12" ht="13">
      <c r="A215" s="97"/>
      <c r="B215" s="97"/>
      <c r="F215" s="98"/>
      <c r="K215" s="6"/>
      <c r="L215" s="6"/>
    </row>
    <row r="216" spans="1:12" ht="13">
      <c r="A216" s="97"/>
      <c r="B216" s="97"/>
      <c r="F216" s="98"/>
      <c r="K216" s="6"/>
      <c r="L216" s="6"/>
    </row>
    <row r="217" spans="1:12" ht="13">
      <c r="A217" s="97"/>
      <c r="B217" s="97"/>
      <c r="F217" s="98"/>
      <c r="K217" s="6"/>
      <c r="L217" s="6"/>
    </row>
    <row r="218" spans="1:12" ht="13">
      <c r="A218" s="97"/>
      <c r="B218" s="97"/>
      <c r="F218" s="98"/>
      <c r="K218" s="6"/>
      <c r="L218" s="6"/>
    </row>
    <row r="219" spans="1:12" ht="13">
      <c r="A219" s="97"/>
      <c r="B219" s="97"/>
      <c r="F219" s="98"/>
      <c r="K219" s="6"/>
      <c r="L219" s="6"/>
    </row>
    <row r="220" spans="1:12" ht="13">
      <c r="A220" s="97"/>
      <c r="B220" s="97"/>
      <c r="F220" s="98"/>
      <c r="K220" s="6"/>
      <c r="L220" s="6"/>
    </row>
    <row r="221" spans="1:12" ht="13">
      <c r="A221" s="97"/>
      <c r="B221" s="97"/>
      <c r="F221" s="98"/>
      <c r="K221" s="6"/>
      <c r="L221" s="6"/>
    </row>
    <row r="222" spans="1:12" ht="13">
      <c r="A222" s="97"/>
      <c r="B222" s="97"/>
      <c r="F222" s="98"/>
      <c r="K222" s="6"/>
      <c r="L222" s="6"/>
    </row>
    <row r="223" spans="1:12" ht="13">
      <c r="A223" s="97"/>
      <c r="B223" s="97"/>
      <c r="F223" s="98"/>
      <c r="K223" s="6"/>
      <c r="L223" s="6"/>
    </row>
    <row r="224" spans="1:12" ht="13">
      <c r="A224" s="97"/>
      <c r="B224" s="97"/>
      <c r="F224" s="98"/>
      <c r="K224" s="6"/>
      <c r="L224" s="6"/>
    </row>
    <row r="225" spans="1:12" ht="13">
      <c r="A225" s="97"/>
      <c r="B225" s="97"/>
      <c r="F225" s="98"/>
      <c r="K225" s="6"/>
      <c r="L225" s="6"/>
    </row>
    <row r="226" spans="1:12" ht="13">
      <c r="A226" s="97"/>
      <c r="B226" s="97"/>
      <c r="F226" s="98"/>
      <c r="K226" s="6"/>
      <c r="L226" s="6"/>
    </row>
    <row r="227" spans="1:12" ht="13">
      <c r="A227" s="97"/>
      <c r="B227" s="97"/>
      <c r="F227" s="98"/>
      <c r="K227" s="6"/>
      <c r="L227" s="6"/>
    </row>
    <row r="228" spans="1:12" ht="13">
      <c r="A228" s="97"/>
      <c r="B228" s="97"/>
      <c r="F228" s="98"/>
      <c r="K228" s="6"/>
      <c r="L228" s="6"/>
    </row>
    <row r="229" spans="1:12" ht="13">
      <c r="A229" s="97"/>
      <c r="B229" s="97"/>
      <c r="F229" s="98"/>
      <c r="K229" s="6"/>
      <c r="L229" s="6"/>
    </row>
    <row r="230" spans="1:12" ht="13">
      <c r="A230" s="97"/>
      <c r="B230" s="97"/>
      <c r="F230" s="98"/>
      <c r="K230" s="6"/>
      <c r="L230" s="6"/>
    </row>
    <row r="231" spans="1:12" ht="13">
      <c r="A231" s="97"/>
      <c r="B231" s="97"/>
      <c r="F231" s="98"/>
      <c r="K231" s="6"/>
      <c r="L231" s="6"/>
    </row>
    <row r="232" spans="1:12" ht="13">
      <c r="A232" s="97"/>
      <c r="B232" s="97"/>
      <c r="F232" s="98"/>
      <c r="K232" s="6"/>
      <c r="L232" s="6"/>
    </row>
    <row r="233" spans="1:12" ht="13">
      <c r="A233" s="97"/>
      <c r="B233" s="97"/>
      <c r="F233" s="98"/>
      <c r="K233" s="6"/>
      <c r="L233" s="6"/>
    </row>
    <row r="234" spans="1:12" ht="13">
      <c r="A234" s="97"/>
      <c r="B234" s="97"/>
      <c r="F234" s="98"/>
      <c r="K234" s="6"/>
      <c r="L234" s="6"/>
    </row>
    <row r="235" spans="1:12" ht="13">
      <c r="A235" s="97"/>
      <c r="B235" s="97"/>
      <c r="F235" s="98"/>
      <c r="K235" s="6"/>
      <c r="L235" s="6"/>
    </row>
    <row r="236" spans="1:12" ht="13">
      <c r="A236" s="97"/>
      <c r="B236" s="97"/>
      <c r="F236" s="98"/>
      <c r="K236" s="6"/>
      <c r="L236" s="6"/>
    </row>
    <row r="237" spans="1:12" ht="13">
      <c r="A237" s="97"/>
      <c r="B237" s="97"/>
      <c r="F237" s="98"/>
      <c r="K237" s="6"/>
      <c r="L237" s="6"/>
    </row>
    <row r="238" spans="1:12" ht="13">
      <c r="A238" s="97"/>
      <c r="B238" s="97"/>
      <c r="F238" s="98"/>
      <c r="K238" s="6"/>
      <c r="L238" s="6"/>
    </row>
    <row r="239" spans="1:12" ht="13">
      <c r="A239" s="97"/>
      <c r="B239" s="97"/>
      <c r="F239" s="98"/>
      <c r="K239" s="6"/>
      <c r="L239" s="6"/>
    </row>
    <row r="240" spans="1:12" ht="13">
      <c r="A240" s="97"/>
      <c r="B240" s="97"/>
      <c r="F240" s="98"/>
      <c r="K240" s="6"/>
      <c r="L240" s="6"/>
    </row>
    <row r="241" spans="1:12" ht="13">
      <c r="A241" s="97"/>
      <c r="B241" s="97"/>
      <c r="F241" s="98"/>
      <c r="K241" s="6"/>
      <c r="L241" s="6"/>
    </row>
    <row r="242" spans="1:12" ht="13">
      <c r="A242" s="97"/>
      <c r="B242" s="97"/>
      <c r="F242" s="98"/>
      <c r="K242" s="6"/>
      <c r="L242" s="6"/>
    </row>
    <row r="243" spans="1:12" ht="13">
      <c r="A243" s="97"/>
      <c r="B243" s="97"/>
      <c r="F243" s="98"/>
      <c r="K243" s="6"/>
      <c r="L243" s="6"/>
    </row>
    <row r="244" spans="1:12" ht="13">
      <c r="A244" s="97"/>
      <c r="B244" s="97"/>
      <c r="F244" s="98"/>
      <c r="K244" s="6"/>
      <c r="L244" s="6"/>
    </row>
    <row r="245" spans="1:12" ht="13">
      <c r="A245" s="97"/>
      <c r="B245" s="97"/>
      <c r="F245" s="98"/>
      <c r="K245" s="6"/>
      <c r="L245" s="6"/>
    </row>
    <row r="246" spans="1:12" ht="13">
      <c r="A246" s="97"/>
      <c r="B246" s="97"/>
      <c r="F246" s="98"/>
      <c r="K246" s="6"/>
      <c r="L246" s="6"/>
    </row>
    <row r="247" spans="1:12" ht="13">
      <c r="A247" s="97"/>
      <c r="B247" s="97"/>
      <c r="F247" s="98"/>
      <c r="K247" s="6"/>
      <c r="L247" s="6"/>
    </row>
    <row r="248" spans="1:12" ht="13">
      <c r="A248" s="97"/>
      <c r="B248" s="97"/>
      <c r="F248" s="98"/>
      <c r="K248" s="6"/>
      <c r="L248" s="6"/>
    </row>
    <row r="249" spans="1:12" ht="13">
      <c r="A249" s="97"/>
      <c r="B249" s="97"/>
      <c r="F249" s="98"/>
      <c r="K249" s="6"/>
      <c r="L249" s="6"/>
    </row>
    <row r="250" spans="1:12" ht="13">
      <c r="A250" s="97"/>
      <c r="B250" s="97"/>
      <c r="F250" s="98"/>
      <c r="K250" s="6"/>
      <c r="L250" s="6"/>
    </row>
    <row r="251" spans="1:12" ht="13">
      <c r="A251" s="97"/>
      <c r="B251" s="97"/>
      <c r="F251" s="98"/>
      <c r="K251" s="6"/>
      <c r="L251" s="6"/>
    </row>
    <row r="252" spans="1:12" ht="13">
      <c r="A252" s="97"/>
      <c r="B252" s="97"/>
      <c r="F252" s="98"/>
      <c r="K252" s="6"/>
      <c r="L252" s="6"/>
    </row>
    <row r="253" spans="1:12" ht="13">
      <c r="A253" s="97"/>
      <c r="B253" s="97"/>
      <c r="F253" s="98"/>
      <c r="K253" s="6"/>
      <c r="L253" s="6"/>
    </row>
    <row r="254" spans="1:12" ht="13">
      <c r="A254" s="97"/>
      <c r="B254" s="97"/>
      <c r="F254" s="98"/>
      <c r="K254" s="6"/>
      <c r="L254" s="6"/>
    </row>
    <row r="255" spans="1:12" ht="13">
      <c r="A255" s="97"/>
      <c r="B255" s="97"/>
      <c r="F255" s="98"/>
      <c r="K255" s="6"/>
      <c r="L255" s="6"/>
    </row>
    <row r="256" spans="1:12" ht="13">
      <c r="A256" s="97"/>
      <c r="B256" s="97"/>
      <c r="F256" s="98"/>
      <c r="K256" s="6"/>
      <c r="L256" s="6"/>
    </row>
    <row r="257" spans="1:12" ht="13">
      <c r="A257" s="97"/>
      <c r="B257" s="97"/>
      <c r="F257" s="98"/>
      <c r="K257" s="6"/>
      <c r="L257" s="6"/>
    </row>
    <row r="258" spans="1:12" ht="13">
      <c r="A258" s="97"/>
      <c r="B258" s="97"/>
      <c r="F258" s="98"/>
      <c r="K258" s="6"/>
      <c r="L258" s="6"/>
    </row>
    <row r="259" spans="1:12" ht="13">
      <c r="A259" s="97"/>
      <c r="B259" s="97"/>
      <c r="F259" s="98"/>
      <c r="K259" s="6"/>
      <c r="L259" s="6"/>
    </row>
    <row r="260" spans="1:12" ht="13">
      <c r="A260" s="97"/>
      <c r="B260" s="97"/>
      <c r="F260" s="98"/>
      <c r="K260" s="6"/>
      <c r="L260" s="6"/>
    </row>
    <row r="261" spans="1:12" ht="13">
      <c r="A261" s="97"/>
      <c r="B261" s="97"/>
      <c r="F261" s="98"/>
      <c r="K261" s="6"/>
      <c r="L261" s="6"/>
    </row>
    <row r="262" spans="1:12" ht="13">
      <c r="A262" s="97"/>
      <c r="B262" s="97"/>
      <c r="F262" s="98"/>
      <c r="K262" s="6"/>
      <c r="L262" s="6"/>
    </row>
    <row r="263" spans="1:12" ht="13">
      <c r="A263" s="97"/>
      <c r="B263" s="97"/>
      <c r="F263" s="98"/>
      <c r="K263" s="6"/>
      <c r="L263" s="6"/>
    </row>
    <row r="264" spans="1:12" ht="13">
      <c r="A264" s="97"/>
      <c r="B264" s="97"/>
      <c r="F264" s="98"/>
      <c r="K264" s="6"/>
      <c r="L264" s="6"/>
    </row>
    <row r="265" spans="1:12" ht="13">
      <c r="A265" s="97"/>
      <c r="B265" s="97"/>
      <c r="F265" s="98"/>
      <c r="K265" s="6"/>
      <c r="L265" s="6"/>
    </row>
    <row r="266" spans="1:12" ht="13">
      <c r="A266" s="97"/>
      <c r="B266" s="97"/>
      <c r="F266" s="98"/>
      <c r="K266" s="6"/>
      <c r="L266" s="6"/>
    </row>
    <row r="267" spans="1:12" ht="13">
      <c r="A267" s="97"/>
      <c r="B267" s="97"/>
      <c r="F267" s="98"/>
      <c r="K267" s="6"/>
      <c r="L267" s="6"/>
    </row>
    <row r="268" spans="1:12" ht="13">
      <c r="A268" s="97"/>
      <c r="B268" s="97"/>
      <c r="F268" s="98"/>
      <c r="K268" s="6"/>
      <c r="L268" s="6"/>
    </row>
    <row r="269" spans="1:12" ht="13">
      <c r="A269" s="97"/>
      <c r="B269" s="97"/>
      <c r="F269" s="98"/>
      <c r="K269" s="6"/>
      <c r="L269" s="6"/>
    </row>
    <row r="270" spans="1:12" ht="13">
      <c r="A270" s="97"/>
      <c r="B270" s="97"/>
      <c r="F270" s="98"/>
      <c r="K270" s="6"/>
      <c r="L270" s="6"/>
    </row>
    <row r="271" spans="1:12" ht="13">
      <c r="A271" s="97"/>
      <c r="B271" s="97"/>
      <c r="F271" s="98"/>
      <c r="K271" s="6"/>
      <c r="L271" s="6"/>
    </row>
    <row r="272" spans="1:12" ht="13">
      <c r="A272" s="97"/>
      <c r="B272" s="97"/>
      <c r="F272" s="98"/>
      <c r="K272" s="6"/>
      <c r="L272" s="6"/>
    </row>
    <row r="273" spans="1:12" ht="13">
      <c r="A273" s="97"/>
      <c r="B273" s="97"/>
      <c r="F273" s="98"/>
      <c r="K273" s="6"/>
      <c r="L273" s="6"/>
    </row>
    <row r="274" spans="1:12" ht="13">
      <c r="A274" s="97"/>
      <c r="B274" s="97"/>
      <c r="F274" s="98"/>
      <c r="K274" s="6"/>
      <c r="L274" s="6"/>
    </row>
    <row r="275" spans="1:12" ht="13">
      <c r="A275" s="97"/>
      <c r="B275" s="97"/>
      <c r="F275" s="98"/>
      <c r="K275" s="6"/>
      <c r="L275" s="6"/>
    </row>
    <row r="276" spans="1:12" ht="13">
      <c r="A276" s="97"/>
      <c r="B276" s="97"/>
      <c r="F276" s="98"/>
      <c r="K276" s="6"/>
      <c r="L276" s="6"/>
    </row>
    <row r="277" spans="1:12" ht="13">
      <c r="A277" s="97"/>
      <c r="B277" s="97"/>
      <c r="F277" s="98"/>
      <c r="K277" s="6"/>
      <c r="L277" s="6"/>
    </row>
    <row r="278" spans="1:12" ht="13">
      <c r="A278" s="97"/>
      <c r="B278" s="97"/>
      <c r="F278" s="98"/>
      <c r="K278" s="6"/>
      <c r="L278" s="6"/>
    </row>
    <row r="279" spans="1:12" ht="13">
      <c r="A279" s="97"/>
      <c r="B279" s="97"/>
      <c r="F279" s="98"/>
      <c r="K279" s="6"/>
      <c r="L279" s="6"/>
    </row>
    <row r="280" spans="1:12" ht="13">
      <c r="A280" s="97"/>
      <c r="B280" s="97"/>
      <c r="F280" s="98"/>
      <c r="K280" s="6"/>
      <c r="L280" s="6"/>
    </row>
    <row r="281" spans="1:12" ht="13">
      <c r="A281" s="97"/>
      <c r="B281" s="97"/>
      <c r="F281" s="98"/>
      <c r="K281" s="6"/>
      <c r="L281" s="6"/>
    </row>
    <row r="282" spans="1:12" ht="13">
      <c r="A282" s="97"/>
      <c r="B282" s="97"/>
      <c r="F282" s="98"/>
      <c r="K282" s="6"/>
      <c r="L282" s="6"/>
    </row>
    <row r="283" spans="1:12" ht="13">
      <c r="A283" s="97"/>
      <c r="B283" s="97"/>
      <c r="F283" s="98"/>
      <c r="K283" s="6"/>
      <c r="L283" s="6"/>
    </row>
    <row r="284" spans="1:12" ht="13">
      <c r="A284" s="97"/>
      <c r="B284" s="97"/>
      <c r="F284" s="98"/>
      <c r="K284" s="6"/>
      <c r="L284" s="6"/>
    </row>
    <row r="285" spans="1:12" ht="13">
      <c r="A285" s="97"/>
      <c r="B285" s="97"/>
      <c r="F285" s="98"/>
      <c r="K285" s="6"/>
      <c r="L285" s="6"/>
    </row>
    <row r="286" spans="1:12" ht="13">
      <c r="A286" s="97"/>
      <c r="B286" s="97"/>
      <c r="F286" s="98"/>
      <c r="K286" s="6"/>
      <c r="L286" s="6"/>
    </row>
    <row r="287" spans="1:12" ht="13">
      <c r="A287" s="97"/>
      <c r="B287" s="97"/>
      <c r="F287" s="98"/>
      <c r="K287" s="6"/>
      <c r="L287" s="6"/>
    </row>
    <row r="288" spans="1:12" ht="13">
      <c r="A288" s="97"/>
      <c r="B288" s="97"/>
      <c r="F288" s="98"/>
      <c r="K288" s="6"/>
      <c r="L288" s="6"/>
    </row>
    <row r="289" spans="1:12" ht="13">
      <c r="A289" s="97"/>
      <c r="B289" s="97"/>
      <c r="F289" s="98"/>
      <c r="K289" s="6"/>
      <c r="L289" s="6"/>
    </row>
    <row r="290" spans="1:12" ht="13">
      <c r="A290" s="97"/>
      <c r="B290" s="97"/>
      <c r="F290" s="98"/>
      <c r="K290" s="6"/>
      <c r="L290" s="6"/>
    </row>
    <row r="291" spans="1:12" ht="13">
      <c r="A291" s="97"/>
      <c r="B291" s="97"/>
      <c r="F291" s="98"/>
      <c r="K291" s="6"/>
      <c r="L291" s="6"/>
    </row>
    <row r="292" spans="1:12" ht="13">
      <c r="A292" s="97"/>
      <c r="B292" s="97"/>
      <c r="F292" s="98"/>
      <c r="K292" s="6"/>
      <c r="L292" s="6"/>
    </row>
    <row r="293" spans="1:12" ht="13">
      <c r="A293" s="97"/>
      <c r="B293" s="97"/>
      <c r="F293" s="98"/>
      <c r="K293" s="6"/>
      <c r="L293" s="6"/>
    </row>
    <row r="294" spans="1:12" ht="13">
      <c r="A294" s="97"/>
      <c r="B294" s="97"/>
      <c r="F294" s="98"/>
      <c r="K294" s="6"/>
      <c r="L294" s="6"/>
    </row>
    <row r="295" spans="1:12" ht="13">
      <c r="A295" s="97"/>
      <c r="B295" s="97"/>
      <c r="F295" s="98"/>
      <c r="K295" s="6"/>
      <c r="L295" s="6"/>
    </row>
    <row r="296" spans="1:12" ht="13">
      <c r="A296" s="97"/>
      <c r="B296" s="97"/>
      <c r="F296" s="98"/>
      <c r="K296" s="6"/>
      <c r="L296" s="6"/>
    </row>
    <row r="297" spans="1:12" ht="13">
      <c r="A297" s="97"/>
      <c r="B297" s="97"/>
      <c r="F297" s="98"/>
      <c r="K297" s="6"/>
      <c r="L297" s="6"/>
    </row>
    <row r="298" spans="1:12" ht="13">
      <c r="A298" s="97"/>
      <c r="B298" s="97"/>
      <c r="F298" s="98"/>
      <c r="K298" s="6"/>
      <c r="L298" s="6"/>
    </row>
    <row r="299" spans="1:12" ht="13">
      <c r="A299" s="97"/>
      <c r="B299" s="97"/>
      <c r="F299" s="98"/>
      <c r="K299" s="6"/>
      <c r="L299" s="6"/>
    </row>
    <row r="300" spans="1:12" ht="13">
      <c r="A300" s="97"/>
      <c r="B300" s="97"/>
      <c r="F300" s="98"/>
      <c r="K300" s="6"/>
      <c r="L300" s="6"/>
    </row>
    <row r="301" spans="1:12" ht="13">
      <c r="A301" s="97"/>
      <c r="B301" s="97"/>
      <c r="F301" s="98"/>
      <c r="K301" s="6"/>
      <c r="L301" s="6"/>
    </row>
    <row r="302" spans="1:12" ht="13">
      <c r="A302" s="97"/>
      <c r="B302" s="97"/>
      <c r="F302" s="98"/>
      <c r="K302" s="6"/>
      <c r="L302" s="6"/>
    </row>
    <row r="303" spans="1:12" ht="13">
      <c r="A303" s="97"/>
      <c r="B303" s="97"/>
      <c r="F303" s="98"/>
      <c r="K303" s="6"/>
      <c r="L303" s="6"/>
    </row>
    <row r="304" spans="1:12" ht="13">
      <c r="A304" s="97"/>
      <c r="B304" s="97"/>
      <c r="F304" s="98"/>
      <c r="K304" s="6"/>
      <c r="L304" s="6"/>
    </row>
    <row r="305" spans="1:12" ht="13">
      <c r="A305" s="97"/>
      <c r="B305" s="97"/>
      <c r="F305" s="98"/>
      <c r="K305" s="6"/>
      <c r="L305" s="6"/>
    </row>
    <row r="306" spans="1:12" ht="13">
      <c r="A306" s="97"/>
      <c r="B306" s="97"/>
      <c r="F306" s="98"/>
      <c r="K306" s="6"/>
      <c r="L306" s="6"/>
    </row>
    <row r="307" spans="1:12" ht="13">
      <c r="A307" s="97"/>
      <c r="B307" s="97"/>
      <c r="F307" s="98"/>
      <c r="K307" s="6"/>
      <c r="L307" s="6"/>
    </row>
    <row r="308" spans="1:12" ht="13">
      <c r="A308" s="97"/>
      <c r="B308" s="97"/>
      <c r="F308" s="98"/>
      <c r="K308" s="6"/>
      <c r="L308" s="6"/>
    </row>
    <row r="309" spans="1:12" ht="13">
      <c r="A309" s="97"/>
      <c r="B309" s="97"/>
      <c r="F309" s="98"/>
      <c r="K309" s="6"/>
      <c r="L309" s="6"/>
    </row>
    <row r="310" spans="1:12" ht="13">
      <c r="A310" s="97"/>
      <c r="B310" s="97"/>
      <c r="F310" s="98"/>
      <c r="K310" s="6"/>
      <c r="L310" s="6"/>
    </row>
    <row r="311" spans="1:12" ht="13">
      <c r="A311" s="97"/>
      <c r="B311" s="97"/>
      <c r="F311" s="98"/>
      <c r="K311" s="6"/>
      <c r="L311" s="6"/>
    </row>
    <row r="312" spans="1:12" ht="13">
      <c r="A312" s="97"/>
      <c r="B312" s="97"/>
      <c r="F312" s="98"/>
      <c r="K312" s="6"/>
      <c r="L312" s="6"/>
    </row>
    <row r="313" spans="1:12" ht="13">
      <c r="A313" s="97"/>
      <c r="B313" s="97"/>
      <c r="F313" s="98"/>
      <c r="K313" s="6"/>
      <c r="L313" s="6"/>
    </row>
    <row r="314" spans="1:12" ht="13">
      <c r="A314" s="97"/>
      <c r="B314" s="97"/>
      <c r="F314" s="98"/>
      <c r="K314" s="6"/>
      <c r="L314" s="6"/>
    </row>
    <row r="315" spans="1:12" ht="13">
      <c r="A315" s="97"/>
      <c r="B315" s="97"/>
      <c r="F315" s="98"/>
      <c r="K315" s="6"/>
      <c r="L315" s="6"/>
    </row>
    <row r="316" spans="1:12" ht="13">
      <c r="A316" s="97"/>
      <c r="B316" s="97"/>
      <c r="F316" s="98"/>
      <c r="K316" s="6"/>
      <c r="L316" s="6"/>
    </row>
    <row r="317" spans="1:12" ht="13">
      <c r="A317" s="97"/>
      <c r="B317" s="97"/>
      <c r="F317" s="98"/>
      <c r="K317" s="6"/>
      <c r="L317" s="6"/>
    </row>
    <row r="318" spans="1:12" ht="13">
      <c r="A318" s="97"/>
      <c r="B318" s="97"/>
      <c r="F318" s="98"/>
      <c r="K318" s="6"/>
      <c r="L318" s="6"/>
    </row>
    <row r="319" spans="1:12" ht="13">
      <c r="A319" s="97"/>
      <c r="B319" s="97"/>
      <c r="F319" s="98"/>
      <c r="K319" s="6"/>
      <c r="L319" s="6"/>
    </row>
    <row r="320" spans="1:12" ht="13">
      <c r="A320" s="97"/>
      <c r="B320" s="97"/>
      <c r="F320" s="98"/>
      <c r="K320" s="6"/>
      <c r="L320" s="6"/>
    </row>
    <row r="321" spans="1:12" ht="13">
      <c r="A321" s="97"/>
      <c r="B321" s="97"/>
      <c r="F321" s="98"/>
      <c r="K321" s="6"/>
      <c r="L321" s="6"/>
    </row>
    <row r="322" spans="1:12" ht="13">
      <c r="A322" s="97"/>
      <c r="B322" s="97"/>
      <c r="F322" s="98"/>
      <c r="K322" s="6"/>
      <c r="L322" s="6"/>
    </row>
    <row r="323" spans="1:12" ht="13">
      <c r="A323" s="97"/>
      <c r="B323" s="97"/>
      <c r="F323" s="98"/>
      <c r="K323" s="6"/>
      <c r="L323" s="6"/>
    </row>
    <row r="324" spans="1:12" ht="13">
      <c r="A324" s="97"/>
      <c r="B324" s="97"/>
      <c r="F324" s="98"/>
      <c r="K324" s="6"/>
      <c r="L324" s="6"/>
    </row>
    <row r="325" spans="1:12" ht="13">
      <c r="A325" s="97"/>
      <c r="B325" s="97"/>
      <c r="F325" s="98"/>
      <c r="K325" s="6"/>
      <c r="L325" s="6"/>
    </row>
    <row r="326" spans="1:12" ht="13">
      <c r="A326" s="97"/>
      <c r="B326" s="97"/>
      <c r="F326" s="98"/>
      <c r="K326" s="6"/>
      <c r="L326" s="6"/>
    </row>
    <row r="327" spans="1:12" ht="13">
      <c r="A327" s="97"/>
      <c r="B327" s="97"/>
      <c r="F327" s="98"/>
      <c r="K327" s="6"/>
      <c r="L327" s="6"/>
    </row>
    <row r="328" spans="1:12" ht="13">
      <c r="A328" s="97"/>
      <c r="B328" s="97"/>
      <c r="F328" s="98"/>
      <c r="K328" s="6"/>
      <c r="L328" s="6"/>
    </row>
    <row r="329" spans="1:12" ht="13">
      <c r="A329" s="97"/>
      <c r="B329" s="97"/>
      <c r="F329" s="98"/>
      <c r="K329" s="6"/>
      <c r="L329" s="6"/>
    </row>
    <row r="330" spans="1:12" ht="13">
      <c r="A330" s="97"/>
      <c r="B330" s="97"/>
      <c r="F330" s="98"/>
      <c r="K330" s="6"/>
      <c r="L330" s="6"/>
    </row>
    <row r="331" spans="1:12" ht="13">
      <c r="A331" s="97"/>
      <c r="B331" s="97"/>
      <c r="F331" s="98"/>
      <c r="K331" s="6"/>
      <c r="L331" s="6"/>
    </row>
    <row r="332" spans="1:12" ht="13">
      <c r="A332" s="97"/>
      <c r="B332" s="97"/>
      <c r="F332" s="98"/>
      <c r="K332" s="6"/>
      <c r="L332" s="6"/>
    </row>
    <row r="333" spans="1:12" ht="13">
      <c r="A333" s="97"/>
      <c r="B333" s="97"/>
      <c r="F333" s="98"/>
      <c r="K333" s="6"/>
      <c r="L333" s="6"/>
    </row>
    <row r="334" spans="1:12" ht="13">
      <c r="A334" s="97"/>
      <c r="B334" s="97"/>
      <c r="F334" s="98"/>
      <c r="K334" s="6"/>
      <c r="L334" s="6"/>
    </row>
    <row r="335" spans="1:12" ht="13">
      <c r="A335" s="97"/>
      <c r="B335" s="97"/>
      <c r="F335" s="98"/>
      <c r="K335" s="6"/>
      <c r="L335" s="6"/>
    </row>
    <row r="336" spans="1:12" ht="13">
      <c r="A336" s="97"/>
      <c r="B336" s="97"/>
      <c r="F336" s="98"/>
      <c r="K336" s="6"/>
      <c r="L336" s="6"/>
    </row>
    <row r="337" spans="1:12" ht="13">
      <c r="A337" s="97"/>
      <c r="B337" s="97"/>
      <c r="F337" s="98"/>
      <c r="K337" s="6"/>
      <c r="L337" s="6"/>
    </row>
    <row r="338" spans="1:12" ht="13">
      <c r="A338" s="97"/>
      <c r="B338" s="97"/>
      <c r="F338" s="98"/>
      <c r="K338" s="6"/>
      <c r="L338" s="6"/>
    </row>
    <row r="339" spans="1:12" ht="13">
      <c r="A339" s="97"/>
      <c r="B339" s="97"/>
      <c r="F339" s="98"/>
      <c r="K339" s="6"/>
      <c r="L339" s="6"/>
    </row>
    <row r="340" spans="1:12" ht="13">
      <c r="A340" s="97"/>
      <c r="B340" s="97"/>
      <c r="F340" s="98"/>
      <c r="K340" s="6"/>
      <c r="L340" s="6"/>
    </row>
    <row r="341" spans="1:12" ht="13">
      <c r="A341" s="97"/>
      <c r="B341" s="97"/>
      <c r="F341" s="98"/>
      <c r="K341" s="6"/>
      <c r="L341" s="6"/>
    </row>
    <row r="342" spans="1:12" ht="13">
      <c r="A342" s="97"/>
      <c r="B342" s="97"/>
      <c r="F342" s="98"/>
      <c r="K342" s="6"/>
      <c r="L342" s="6"/>
    </row>
    <row r="343" spans="1:12" ht="13">
      <c r="A343" s="97"/>
      <c r="B343" s="97"/>
      <c r="F343" s="98"/>
      <c r="K343" s="6"/>
      <c r="L343" s="6"/>
    </row>
    <row r="344" spans="1:12" ht="13">
      <c r="A344" s="97"/>
      <c r="B344" s="97"/>
      <c r="F344" s="98"/>
      <c r="K344" s="6"/>
      <c r="L344" s="6"/>
    </row>
    <row r="345" spans="1:12" ht="13">
      <c r="A345" s="97"/>
      <c r="B345" s="97"/>
      <c r="F345" s="98"/>
      <c r="K345" s="6"/>
      <c r="L345" s="6"/>
    </row>
    <row r="346" spans="1:12" ht="13">
      <c r="A346" s="97"/>
      <c r="B346" s="97"/>
      <c r="F346" s="98"/>
      <c r="K346" s="6"/>
      <c r="L346" s="6"/>
    </row>
    <row r="347" spans="1:12" ht="13">
      <c r="A347" s="97"/>
      <c r="B347" s="97"/>
      <c r="F347" s="98"/>
      <c r="K347" s="6"/>
      <c r="L347" s="6"/>
    </row>
    <row r="348" spans="1:12" ht="13">
      <c r="A348" s="97"/>
      <c r="B348" s="97"/>
      <c r="F348" s="98"/>
      <c r="K348" s="6"/>
      <c r="L348" s="6"/>
    </row>
    <row r="349" spans="1:12" ht="13">
      <c r="A349" s="97"/>
      <c r="B349" s="97"/>
      <c r="F349" s="98"/>
      <c r="K349" s="6"/>
      <c r="L349" s="6"/>
    </row>
    <row r="350" spans="1:12" ht="13">
      <c r="A350" s="97"/>
      <c r="B350" s="97"/>
      <c r="F350" s="98"/>
      <c r="K350" s="6"/>
      <c r="L350" s="6"/>
    </row>
    <row r="351" spans="1:12" ht="13">
      <c r="A351" s="97"/>
      <c r="B351" s="97"/>
      <c r="F351" s="98"/>
      <c r="K351" s="6"/>
      <c r="L351" s="6"/>
    </row>
    <row r="352" spans="1:12" ht="13">
      <c r="A352" s="97"/>
      <c r="B352" s="97"/>
      <c r="F352" s="98"/>
      <c r="K352" s="6"/>
      <c r="L352" s="6"/>
    </row>
    <row r="353" spans="1:12" ht="13">
      <c r="A353" s="97"/>
      <c r="B353" s="97"/>
      <c r="F353" s="98"/>
      <c r="K353" s="6"/>
      <c r="L353" s="6"/>
    </row>
    <row r="354" spans="1:12" ht="13">
      <c r="A354" s="97"/>
      <c r="B354" s="97"/>
      <c r="F354" s="98"/>
      <c r="K354" s="6"/>
      <c r="L354" s="6"/>
    </row>
    <row r="355" spans="1:12" ht="13">
      <c r="A355" s="97"/>
      <c r="B355" s="97"/>
      <c r="F355" s="98"/>
      <c r="K355" s="6"/>
      <c r="L355" s="6"/>
    </row>
    <row r="356" spans="1:12" ht="13">
      <c r="A356" s="97"/>
      <c r="B356" s="97"/>
      <c r="F356" s="98"/>
      <c r="K356" s="6"/>
      <c r="L356" s="6"/>
    </row>
    <row r="357" spans="1:12" ht="13">
      <c r="A357" s="97"/>
      <c r="B357" s="97"/>
      <c r="F357" s="98"/>
      <c r="K357" s="6"/>
      <c r="L357" s="6"/>
    </row>
    <row r="358" spans="1:12" ht="13">
      <c r="A358" s="97"/>
      <c r="B358" s="97"/>
      <c r="F358" s="98"/>
      <c r="K358" s="6"/>
      <c r="L358" s="6"/>
    </row>
    <row r="359" spans="1:12" ht="13">
      <c r="A359" s="97"/>
      <c r="B359" s="97"/>
      <c r="F359" s="98"/>
      <c r="K359" s="6"/>
      <c r="L359" s="6"/>
    </row>
    <row r="360" spans="1:12" ht="13">
      <c r="A360" s="97"/>
      <c r="B360" s="97"/>
      <c r="F360" s="98"/>
      <c r="K360" s="6"/>
      <c r="L360" s="6"/>
    </row>
    <row r="361" spans="1:12" ht="13">
      <c r="A361" s="97"/>
      <c r="B361" s="97"/>
      <c r="F361" s="98"/>
      <c r="K361" s="6"/>
      <c r="L361" s="6"/>
    </row>
    <row r="362" spans="1:12" ht="13">
      <c r="A362" s="97"/>
      <c r="B362" s="97"/>
      <c r="F362" s="98"/>
      <c r="K362" s="6"/>
      <c r="L362" s="6"/>
    </row>
    <row r="363" spans="1:12" ht="13">
      <c r="A363" s="97"/>
      <c r="B363" s="97"/>
      <c r="F363" s="98"/>
      <c r="K363" s="6"/>
      <c r="L363" s="6"/>
    </row>
    <row r="364" spans="1:12" ht="13">
      <c r="A364" s="97"/>
      <c r="B364" s="97"/>
      <c r="F364" s="98"/>
      <c r="K364" s="6"/>
      <c r="L364" s="6"/>
    </row>
    <row r="365" spans="1:12" ht="13">
      <c r="A365" s="97"/>
      <c r="B365" s="97"/>
      <c r="F365" s="98"/>
      <c r="K365" s="6"/>
      <c r="L365" s="6"/>
    </row>
    <row r="366" spans="1:12" ht="13">
      <c r="A366" s="97"/>
      <c r="B366" s="97"/>
      <c r="F366" s="98"/>
      <c r="K366" s="6"/>
      <c r="L366" s="6"/>
    </row>
    <row r="367" spans="1:12" ht="13">
      <c r="A367" s="97"/>
      <c r="B367" s="97"/>
      <c r="F367" s="98"/>
      <c r="K367" s="6"/>
      <c r="L367" s="6"/>
    </row>
    <row r="368" spans="1:12" ht="13">
      <c r="A368" s="97"/>
      <c r="B368" s="97"/>
      <c r="F368" s="98"/>
      <c r="K368" s="6"/>
      <c r="L368" s="6"/>
    </row>
    <row r="369" spans="1:12" ht="13">
      <c r="A369" s="97"/>
      <c r="B369" s="97"/>
      <c r="F369" s="98"/>
      <c r="K369" s="6"/>
      <c r="L369" s="6"/>
    </row>
    <row r="370" spans="1:12" ht="13">
      <c r="A370" s="97"/>
      <c r="B370" s="97"/>
      <c r="F370" s="98"/>
      <c r="K370" s="6"/>
      <c r="L370" s="6"/>
    </row>
    <row r="371" spans="1:12" ht="13">
      <c r="A371" s="97"/>
      <c r="B371" s="97"/>
      <c r="F371" s="98"/>
      <c r="K371" s="6"/>
      <c r="L371" s="6"/>
    </row>
    <row r="372" spans="1:12" ht="13">
      <c r="A372" s="97"/>
      <c r="B372" s="97"/>
      <c r="F372" s="98"/>
      <c r="K372" s="6"/>
      <c r="L372" s="6"/>
    </row>
    <row r="373" spans="1:12" ht="13">
      <c r="A373" s="97"/>
      <c r="B373" s="97"/>
      <c r="F373" s="98"/>
      <c r="K373" s="6"/>
      <c r="L373" s="6"/>
    </row>
    <row r="374" spans="1:12" ht="13">
      <c r="A374" s="97"/>
      <c r="B374" s="97"/>
      <c r="F374" s="98"/>
      <c r="K374" s="6"/>
      <c r="L374" s="6"/>
    </row>
    <row r="375" spans="1:12" ht="13">
      <c r="A375" s="97"/>
      <c r="B375" s="97"/>
      <c r="F375" s="98"/>
      <c r="K375" s="6"/>
      <c r="L375" s="6"/>
    </row>
    <row r="376" spans="1:12" ht="13">
      <c r="A376" s="97"/>
      <c r="B376" s="97"/>
      <c r="F376" s="98"/>
      <c r="K376" s="6"/>
      <c r="L376" s="6"/>
    </row>
    <row r="377" spans="1:12" ht="13">
      <c r="A377" s="97"/>
      <c r="B377" s="97"/>
      <c r="F377" s="98"/>
      <c r="K377" s="6"/>
      <c r="L377" s="6"/>
    </row>
    <row r="378" spans="1:12" ht="13">
      <c r="A378" s="97"/>
      <c r="B378" s="97"/>
      <c r="F378" s="98"/>
      <c r="K378" s="6"/>
      <c r="L378" s="6"/>
    </row>
    <row r="379" spans="1:12" ht="13">
      <c r="A379" s="97"/>
      <c r="B379" s="97"/>
      <c r="F379" s="98"/>
      <c r="K379" s="6"/>
      <c r="L379" s="6"/>
    </row>
    <row r="380" spans="1:12" ht="13">
      <c r="A380" s="97"/>
      <c r="B380" s="97"/>
      <c r="F380" s="98"/>
      <c r="K380" s="6"/>
      <c r="L380" s="6"/>
    </row>
    <row r="381" spans="1:12" ht="13">
      <c r="A381" s="97"/>
      <c r="B381" s="97"/>
      <c r="F381" s="98"/>
      <c r="K381" s="6"/>
      <c r="L381" s="6"/>
    </row>
    <row r="382" spans="1:12" ht="13">
      <c r="A382" s="97"/>
      <c r="B382" s="97"/>
      <c r="F382" s="98"/>
      <c r="K382" s="6"/>
      <c r="L382" s="6"/>
    </row>
    <row r="383" spans="1:12" ht="13">
      <c r="A383" s="97"/>
      <c r="B383" s="97"/>
      <c r="F383" s="98"/>
      <c r="K383" s="6"/>
      <c r="L383" s="6"/>
    </row>
    <row r="384" spans="1:12" ht="13">
      <c r="A384" s="97"/>
      <c r="B384" s="97"/>
      <c r="F384" s="98"/>
      <c r="K384" s="6"/>
      <c r="L384" s="6"/>
    </row>
    <row r="385" spans="1:12" ht="13">
      <c r="A385" s="97"/>
      <c r="B385" s="97"/>
      <c r="F385" s="98"/>
      <c r="K385" s="6"/>
      <c r="L385" s="6"/>
    </row>
    <row r="386" spans="1:12" ht="13">
      <c r="A386" s="97"/>
      <c r="B386" s="97"/>
      <c r="F386" s="98"/>
      <c r="K386" s="6"/>
      <c r="L386" s="6"/>
    </row>
    <row r="387" spans="1:12" ht="13">
      <c r="A387" s="97"/>
      <c r="B387" s="97"/>
      <c r="F387" s="98"/>
      <c r="K387" s="6"/>
      <c r="L387" s="6"/>
    </row>
    <row r="388" spans="1:12" ht="13">
      <c r="A388" s="97"/>
      <c r="B388" s="97"/>
      <c r="F388" s="98"/>
      <c r="K388" s="6"/>
      <c r="L388" s="6"/>
    </row>
    <row r="389" spans="1:12" ht="13">
      <c r="A389" s="97"/>
      <c r="B389" s="97"/>
      <c r="F389" s="98"/>
      <c r="K389" s="6"/>
      <c r="L389" s="6"/>
    </row>
    <row r="390" spans="1:12" ht="13">
      <c r="A390" s="97"/>
      <c r="B390" s="97"/>
      <c r="F390" s="98"/>
      <c r="K390" s="6"/>
      <c r="L390" s="6"/>
    </row>
    <row r="391" spans="1:12" ht="13">
      <c r="A391" s="97"/>
      <c r="B391" s="97"/>
      <c r="F391" s="98"/>
      <c r="K391" s="6"/>
      <c r="L391" s="6"/>
    </row>
    <row r="392" spans="1:12" ht="13">
      <c r="A392" s="97"/>
      <c r="B392" s="97"/>
      <c r="F392" s="98"/>
      <c r="K392" s="6"/>
      <c r="L392" s="6"/>
    </row>
    <row r="393" spans="1:12" ht="13">
      <c r="A393" s="97"/>
      <c r="B393" s="97"/>
      <c r="F393" s="98"/>
      <c r="K393" s="6"/>
      <c r="L393" s="6"/>
    </row>
    <row r="394" spans="1:12" ht="13">
      <c r="A394" s="97"/>
      <c r="B394" s="97"/>
      <c r="F394" s="98"/>
      <c r="K394" s="6"/>
      <c r="L394" s="6"/>
    </row>
    <row r="395" spans="1:12" ht="13">
      <c r="A395" s="97"/>
      <c r="B395" s="97"/>
      <c r="F395" s="98"/>
      <c r="K395" s="6"/>
      <c r="L395" s="6"/>
    </row>
    <row r="396" spans="1:12" ht="13">
      <c r="A396" s="97"/>
      <c r="B396" s="97"/>
      <c r="F396" s="98"/>
      <c r="K396" s="6"/>
      <c r="L396" s="6"/>
    </row>
    <row r="397" spans="1:12" ht="13">
      <c r="A397" s="97"/>
      <c r="B397" s="97"/>
      <c r="F397" s="98"/>
      <c r="K397" s="6"/>
      <c r="L397" s="6"/>
    </row>
    <row r="398" spans="1:12" ht="13">
      <c r="A398" s="97"/>
      <c r="B398" s="97"/>
      <c r="F398" s="98"/>
      <c r="K398" s="6"/>
      <c r="L398" s="6"/>
    </row>
    <row r="399" spans="1:12" ht="13">
      <c r="A399" s="97"/>
      <c r="B399" s="97"/>
      <c r="F399" s="98"/>
      <c r="K399" s="6"/>
      <c r="L399" s="6"/>
    </row>
    <row r="400" spans="1:12" ht="13">
      <c r="A400" s="97"/>
      <c r="B400" s="97"/>
      <c r="F400" s="98"/>
      <c r="K400" s="6"/>
      <c r="L400" s="6"/>
    </row>
    <row r="401" spans="1:12" ht="13">
      <c r="A401" s="97"/>
      <c r="B401" s="97"/>
      <c r="F401" s="98"/>
      <c r="K401" s="6"/>
      <c r="L401" s="6"/>
    </row>
    <row r="402" spans="1:12" ht="13">
      <c r="A402" s="97"/>
      <c r="B402" s="97"/>
      <c r="F402" s="98"/>
      <c r="K402" s="6"/>
      <c r="L402" s="6"/>
    </row>
    <row r="403" spans="1:12" ht="13">
      <c r="A403" s="97"/>
      <c r="B403" s="97"/>
      <c r="F403" s="98"/>
      <c r="K403" s="6"/>
      <c r="L403" s="6"/>
    </row>
    <row r="404" spans="1:12" ht="13">
      <c r="A404" s="97"/>
      <c r="B404" s="97"/>
      <c r="F404" s="98"/>
      <c r="K404" s="6"/>
      <c r="L404" s="6"/>
    </row>
    <row r="405" spans="1:12" ht="13">
      <c r="A405" s="97"/>
      <c r="B405" s="97"/>
      <c r="F405" s="98"/>
      <c r="K405" s="6"/>
      <c r="L405" s="6"/>
    </row>
    <row r="406" spans="1:12" ht="13">
      <c r="A406" s="97"/>
      <c r="B406" s="97"/>
      <c r="F406" s="98"/>
      <c r="K406" s="6"/>
      <c r="L406" s="6"/>
    </row>
    <row r="407" spans="1:12" ht="13">
      <c r="A407" s="97"/>
      <c r="B407" s="97"/>
      <c r="F407" s="98"/>
      <c r="K407" s="6"/>
      <c r="L407" s="6"/>
    </row>
    <row r="408" spans="1:12" ht="13">
      <c r="A408" s="97"/>
      <c r="B408" s="97"/>
      <c r="F408" s="98"/>
      <c r="K408" s="6"/>
      <c r="L408" s="6"/>
    </row>
    <row r="409" spans="1:12" ht="13">
      <c r="A409" s="97"/>
      <c r="B409" s="97"/>
      <c r="F409" s="98"/>
      <c r="K409" s="6"/>
      <c r="L409" s="6"/>
    </row>
    <row r="410" spans="1:12" ht="13">
      <c r="A410" s="97"/>
      <c r="B410" s="97"/>
      <c r="F410" s="98"/>
      <c r="K410" s="6"/>
      <c r="L410" s="6"/>
    </row>
    <row r="411" spans="1:12" ht="13">
      <c r="A411" s="97"/>
      <c r="B411" s="97"/>
      <c r="F411" s="98"/>
      <c r="K411" s="6"/>
      <c r="L411" s="6"/>
    </row>
    <row r="412" spans="1:12" ht="13">
      <c r="A412" s="97"/>
      <c r="B412" s="97"/>
      <c r="F412" s="98"/>
      <c r="K412" s="6"/>
      <c r="L412" s="6"/>
    </row>
    <row r="413" spans="1:12" ht="13">
      <c r="A413" s="97"/>
      <c r="B413" s="97"/>
      <c r="F413" s="98"/>
      <c r="K413" s="6"/>
      <c r="L413" s="6"/>
    </row>
    <row r="414" spans="1:12" ht="13">
      <c r="A414" s="97"/>
      <c r="B414" s="97"/>
      <c r="F414" s="98"/>
      <c r="K414" s="6"/>
      <c r="L414" s="6"/>
    </row>
    <row r="415" spans="1:12" ht="13">
      <c r="A415" s="97"/>
      <c r="B415" s="97"/>
      <c r="F415" s="98"/>
      <c r="K415" s="6"/>
      <c r="L415" s="6"/>
    </row>
    <row r="416" spans="1:12" ht="13">
      <c r="A416" s="97"/>
      <c r="B416" s="97"/>
      <c r="F416" s="98"/>
      <c r="K416" s="6"/>
      <c r="L416" s="6"/>
    </row>
    <row r="417" spans="1:12" ht="13">
      <c r="A417" s="97"/>
      <c r="B417" s="97"/>
      <c r="F417" s="98"/>
      <c r="K417" s="6"/>
      <c r="L417" s="6"/>
    </row>
    <row r="418" spans="1:12" ht="13">
      <c r="A418" s="97"/>
      <c r="B418" s="97"/>
      <c r="F418" s="98"/>
      <c r="K418" s="6"/>
      <c r="L418" s="6"/>
    </row>
    <row r="419" spans="1:12" ht="13">
      <c r="A419" s="97"/>
      <c r="B419" s="97"/>
      <c r="F419" s="98"/>
      <c r="K419" s="6"/>
      <c r="L419" s="6"/>
    </row>
    <row r="420" spans="1:12" ht="13">
      <c r="A420" s="97"/>
      <c r="B420" s="97"/>
      <c r="F420" s="98"/>
      <c r="K420" s="6"/>
      <c r="L420" s="6"/>
    </row>
    <row r="421" spans="1:12" ht="13">
      <c r="A421" s="97"/>
      <c r="B421" s="97"/>
      <c r="F421" s="98"/>
      <c r="K421" s="6"/>
      <c r="L421" s="6"/>
    </row>
    <row r="422" spans="1:12" ht="13">
      <c r="A422" s="97"/>
      <c r="B422" s="97"/>
      <c r="F422" s="98"/>
      <c r="K422" s="6"/>
      <c r="L422" s="6"/>
    </row>
    <row r="423" spans="1:12" ht="13">
      <c r="A423" s="97"/>
      <c r="B423" s="97"/>
      <c r="F423" s="98"/>
      <c r="K423" s="6"/>
      <c r="L423" s="6"/>
    </row>
    <row r="424" spans="1:12" ht="13">
      <c r="A424" s="97"/>
      <c r="B424" s="97"/>
      <c r="F424" s="98"/>
      <c r="K424" s="6"/>
      <c r="L424" s="6"/>
    </row>
    <row r="425" spans="1:12" ht="13">
      <c r="A425" s="97"/>
      <c r="B425" s="97"/>
      <c r="F425" s="98"/>
      <c r="K425" s="6"/>
      <c r="L425" s="6"/>
    </row>
    <row r="426" spans="1:12" ht="13">
      <c r="A426" s="97"/>
      <c r="B426" s="97"/>
      <c r="F426" s="98"/>
      <c r="K426" s="6"/>
      <c r="L426" s="6"/>
    </row>
    <row r="427" spans="1:12" ht="13">
      <c r="A427" s="97"/>
      <c r="B427" s="97"/>
      <c r="F427" s="98"/>
      <c r="K427" s="6"/>
      <c r="L427" s="6"/>
    </row>
    <row r="428" spans="1:12" ht="13">
      <c r="A428" s="97"/>
      <c r="B428" s="97"/>
      <c r="F428" s="98"/>
      <c r="K428" s="6"/>
      <c r="L428" s="6"/>
    </row>
    <row r="429" spans="1:12" ht="13">
      <c r="A429" s="97"/>
      <c r="B429" s="97"/>
      <c r="F429" s="98"/>
      <c r="K429" s="6"/>
      <c r="L429" s="6"/>
    </row>
    <row r="430" spans="1:12" ht="13">
      <c r="A430" s="97"/>
      <c r="B430" s="97"/>
      <c r="F430" s="98"/>
      <c r="K430" s="6"/>
      <c r="L430" s="6"/>
    </row>
    <row r="431" spans="1:12" ht="13">
      <c r="A431" s="97"/>
      <c r="B431" s="97"/>
      <c r="F431" s="98"/>
      <c r="K431" s="6"/>
      <c r="L431" s="6"/>
    </row>
    <row r="432" spans="1:12" ht="13">
      <c r="A432" s="97"/>
      <c r="B432" s="97"/>
      <c r="F432" s="98"/>
      <c r="K432" s="6"/>
      <c r="L432" s="6"/>
    </row>
    <row r="433" spans="1:12" ht="13">
      <c r="A433" s="97"/>
      <c r="B433" s="97"/>
      <c r="F433" s="98"/>
      <c r="K433" s="6"/>
      <c r="L433" s="6"/>
    </row>
    <row r="434" spans="1:12" ht="13">
      <c r="A434" s="97"/>
      <c r="B434" s="97"/>
      <c r="F434" s="98"/>
      <c r="K434" s="6"/>
      <c r="L434" s="6"/>
    </row>
    <row r="435" spans="1:12" ht="13">
      <c r="A435" s="97"/>
      <c r="B435" s="97"/>
      <c r="F435" s="98"/>
      <c r="K435" s="6"/>
      <c r="L435" s="6"/>
    </row>
    <row r="436" spans="1:12" ht="13">
      <c r="A436" s="97"/>
      <c r="B436" s="97"/>
      <c r="F436" s="98"/>
      <c r="K436" s="6"/>
      <c r="L436" s="6"/>
    </row>
    <row r="437" spans="1:12" ht="13">
      <c r="A437" s="97"/>
      <c r="B437" s="97"/>
      <c r="F437" s="98"/>
      <c r="K437" s="6"/>
      <c r="L437" s="6"/>
    </row>
    <row r="438" spans="1:12" ht="13">
      <c r="A438" s="97"/>
      <c r="B438" s="97"/>
      <c r="F438" s="98"/>
      <c r="K438" s="6"/>
      <c r="L438" s="6"/>
    </row>
    <row r="439" spans="1:12" ht="13">
      <c r="A439" s="97"/>
      <c r="B439" s="97"/>
      <c r="F439" s="98"/>
      <c r="K439" s="6"/>
      <c r="L439" s="6"/>
    </row>
    <row r="440" spans="1:12" ht="13">
      <c r="A440" s="97"/>
      <c r="B440" s="97"/>
      <c r="F440" s="98"/>
      <c r="K440" s="6"/>
      <c r="L440" s="6"/>
    </row>
    <row r="441" spans="1:12" ht="13">
      <c r="A441" s="97"/>
      <c r="B441" s="97"/>
      <c r="F441" s="98"/>
      <c r="K441" s="6"/>
      <c r="L441" s="6"/>
    </row>
    <row r="442" spans="1:12" ht="13">
      <c r="A442" s="97"/>
      <c r="B442" s="97"/>
      <c r="F442" s="98"/>
      <c r="K442" s="6"/>
      <c r="L442" s="6"/>
    </row>
    <row r="443" spans="1:12" ht="13">
      <c r="A443" s="97"/>
      <c r="B443" s="97"/>
      <c r="F443" s="98"/>
      <c r="K443" s="6"/>
      <c r="L443" s="6"/>
    </row>
    <row r="444" spans="1:12" ht="13">
      <c r="A444" s="97"/>
      <c r="B444" s="97"/>
      <c r="F444" s="98"/>
      <c r="K444" s="6"/>
      <c r="L444" s="6"/>
    </row>
    <row r="445" spans="1:12" ht="13">
      <c r="A445" s="97"/>
      <c r="B445" s="97"/>
      <c r="F445" s="98"/>
      <c r="K445" s="6"/>
      <c r="L445" s="6"/>
    </row>
    <row r="446" spans="1:12" ht="13">
      <c r="A446" s="97"/>
      <c r="B446" s="97"/>
      <c r="F446" s="98"/>
      <c r="K446" s="6"/>
      <c r="L446" s="6"/>
    </row>
    <row r="447" spans="1:12" ht="13">
      <c r="A447" s="97"/>
      <c r="B447" s="97"/>
      <c r="F447" s="98"/>
      <c r="K447" s="6"/>
      <c r="L447" s="6"/>
    </row>
    <row r="448" spans="1:12" ht="13">
      <c r="A448" s="97"/>
      <c r="B448" s="97"/>
      <c r="F448" s="98"/>
      <c r="K448" s="6"/>
      <c r="L448" s="6"/>
    </row>
    <row r="449" spans="1:12" ht="13">
      <c r="A449" s="97"/>
      <c r="B449" s="97"/>
      <c r="F449" s="98"/>
      <c r="K449" s="6"/>
      <c r="L449" s="6"/>
    </row>
    <row r="450" spans="1:12" ht="13">
      <c r="A450" s="97"/>
      <c r="B450" s="97"/>
      <c r="F450" s="98"/>
      <c r="K450" s="6"/>
      <c r="L450" s="6"/>
    </row>
    <row r="451" spans="1:12" ht="13">
      <c r="A451" s="97"/>
      <c r="B451" s="97"/>
      <c r="F451" s="98"/>
      <c r="K451" s="6"/>
      <c r="L451" s="6"/>
    </row>
    <row r="452" spans="1:12" ht="13">
      <c r="A452" s="97"/>
      <c r="B452" s="97"/>
      <c r="F452" s="98"/>
      <c r="K452" s="6"/>
      <c r="L452" s="6"/>
    </row>
    <row r="453" spans="1:12" ht="13">
      <c r="A453" s="97"/>
      <c r="B453" s="97"/>
      <c r="F453" s="98"/>
      <c r="K453" s="6"/>
      <c r="L453" s="6"/>
    </row>
    <row r="454" spans="1:12" ht="13">
      <c r="A454" s="97"/>
      <c r="B454" s="97"/>
      <c r="F454" s="98"/>
      <c r="K454" s="6"/>
      <c r="L454" s="6"/>
    </row>
    <row r="455" spans="1:12" ht="13">
      <c r="A455" s="97"/>
      <c r="B455" s="97"/>
      <c r="F455" s="98"/>
      <c r="K455" s="6"/>
      <c r="L455" s="6"/>
    </row>
    <row r="456" spans="1:12" ht="13">
      <c r="A456" s="97"/>
      <c r="B456" s="97"/>
      <c r="F456" s="98"/>
      <c r="K456" s="6"/>
      <c r="L456" s="6"/>
    </row>
    <row r="457" spans="1:12" ht="13">
      <c r="A457" s="97"/>
      <c r="B457" s="97"/>
      <c r="F457" s="98"/>
      <c r="K457" s="6"/>
      <c r="L457" s="6"/>
    </row>
    <row r="458" spans="1:12" ht="13">
      <c r="A458" s="97"/>
      <c r="B458" s="97"/>
      <c r="F458" s="98"/>
      <c r="K458" s="6"/>
      <c r="L458" s="6"/>
    </row>
    <row r="459" spans="1:12" ht="13">
      <c r="A459" s="97"/>
      <c r="B459" s="97"/>
      <c r="F459" s="98"/>
      <c r="K459" s="6"/>
      <c r="L459" s="6"/>
    </row>
    <row r="460" spans="1:12" ht="13">
      <c r="A460" s="97"/>
      <c r="B460" s="97"/>
      <c r="F460" s="98"/>
      <c r="K460" s="6"/>
      <c r="L460" s="6"/>
    </row>
    <row r="461" spans="1:12" ht="13">
      <c r="A461" s="97"/>
      <c r="B461" s="97"/>
      <c r="F461" s="98"/>
      <c r="K461" s="6"/>
      <c r="L461" s="6"/>
    </row>
    <row r="462" spans="1:12" ht="13">
      <c r="A462" s="97"/>
      <c r="B462" s="97"/>
      <c r="F462" s="98"/>
      <c r="K462" s="6"/>
      <c r="L462" s="6"/>
    </row>
    <row r="463" spans="1:12" ht="13">
      <c r="A463" s="97"/>
      <c r="B463" s="97"/>
      <c r="F463" s="98"/>
      <c r="K463" s="6"/>
      <c r="L463" s="6"/>
    </row>
    <row r="464" spans="1:12" ht="13">
      <c r="A464" s="97"/>
      <c r="B464" s="97"/>
      <c r="F464" s="98"/>
      <c r="K464" s="6"/>
      <c r="L464" s="6"/>
    </row>
    <row r="465" spans="1:12" ht="13">
      <c r="A465" s="97"/>
      <c r="B465" s="97"/>
      <c r="F465" s="98"/>
      <c r="K465" s="6"/>
      <c r="L465" s="6"/>
    </row>
    <row r="466" spans="1:12" ht="13">
      <c r="A466" s="97"/>
      <c r="B466" s="97"/>
      <c r="F466" s="98"/>
      <c r="K466" s="6"/>
      <c r="L466" s="6"/>
    </row>
    <row r="467" spans="1:12" ht="13">
      <c r="A467" s="97"/>
      <c r="B467" s="97"/>
      <c r="F467" s="98"/>
      <c r="K467" s="6"/>
      <c r="L467" s="6"/>
    </row>
    <row r="468" spans="1:12" ht="13">
      <c r="A468" s="97"/>
      <c r="B468" s="97"/>
      <c r="F468" s="98"/>
      <c r="K468" s="6"/>
      <c r="L468" s="6"/>
    </row>
    <row r="469" spans="1:12" ht="13">
      <c r="A469" s="97"/>
      <c r="B469" s="97"/>
      <c r="F469" s="98"/>
      <c r="K469" s="6"/>
      <c r="L469" s="6"/>
    </row>
    <row r="470" spans="1:12" ht="13">
      <c r="A470" s="97"/>
      <c r="B470" s="97"/>
      <c r="F470" s="98"/>
      <c r="K470" s="6"/>
      <c r="L470" s="6"/>
    </row>
    <row r="471" spans="1:12" ht="13">
      <c r="A471" s="97"/>
      <c r="B471" s="97"/>
      <c r="F471" s="98"/>
      <c r="K471" s="6"/>
      <c r="L471" s="6"/>
    </row>
    <row r="472" spans="1:12" ht="13">
      <c r="A472" s="97"/>
      <c r="B472" s="97"/>
      <c r="F472" s="98"/>
      <c r="K472" s="6"/>
      <c r="L472" s="6"/>
    </row>
    <row r="473" spans="1:12" ht="13">
      <c r="A473" s="97"/>
      <c r="B473" s="97"/>
      <c r="F473" s="98"/>
      <c r="K473" s="6"/>
      <c r="L473" s="6"/>
    </row>
    <row r="474" spans="1:12" ht="13">
      <c r="A474" s="97"/>
      <c r="B474" s="97"/>
      <c r="F474" s="98"/>
      <c r="K474" s="6"/>
      <c r="L474" s="6"/>
    </row>
    <row r="475" spans="1:12" ht="13">
      <c r="A475" s="97"/>
      <c r="B475" s="97"/>
      <c r="F475" s="98"/>
      <c r="K475" s="6"/>
      <c r="L475" s="6"/>
    </row>
    <row r="476" spans="1:12" ht="13">
      <c r="A476" s="97"/>
      <c r="B476" s="97"/>
      <c r="F476" s="98"/>
      <c r="K476" s="6"/>
      <c r="L476" s="6"/>
    </row>
    <row r="477" spans="1:12" ht="13">
      <c r="A477" s="97"/>
      <c r="B477" s="97"/>
      <c r="F477" s="98"/>
      <c r="K477" s="6"/>
      <c r="L477" s="6"/>
    </row>
    <row r="478" spans="1:12" ht="13">
      <c r="A478" s="97"/>
      <c r="B478" s="97"/>
      <c r="F478" s="98"/>
      <c r="K478" s="6"/>
      <c r="L478" s="6"/>
    </row>
    <row r="479" spans="1:12" ht="13">
      <c r="A479" s="97"/>
      <c r="B479" s="97"/>
      <c r="F479" s="98"/>
      <c r="K479" s="6"/>
      <c r="L479" s="6"/>
    </row>
    <row r="480" spans="1:12" ht="13">
      <c r="A480" s="97"/>
      <c r="B480" s="97"/>
      <c r="F480" s="98"/>
      <c r="K480" s="6"/>
      <c r="L480" s="6"/>
    </row>
    <row r="481" spans="1:12" ht="13">
      <c r="A481" s="97"/>
      <c r="B481" s="97"/>
      <c r="F481" s="98"/>
      <c r="K481" s="6"/>
      <c r="L481" s="6"/>
    </row>
    <row r="482" spans="1:12" ht="13">
      <c r="A482" s="97"/>
      <c r="B482" s="97"/>
      <c r="F482" s="98"/>
      <c r="K482" s="6"/>
      <c r="L482" s="6"/>
    </row>
    <row r="483" spans="1:12" ht="13">
      <c r="A483" s="97"/>
      <c r="B483" s="97"/>
      <c r="F483" s="98"/>
      <c r="K483" s="6"/>
      <c r="L483" s="6"/>
    </row>
    <row r="484" spans="1:12" ht="13">
      <c r="A484" s="97"/>
      <c r="B484" s="97"/>
      <c r="F484" s="98"/>
      <c r="K484" s="6"/>
      <c r="L484" s="6"/>
    </row>
    <row r="485" spans="1:12" ht="13">
      <c r="A485" s="97"/>
      <c r="B485" s="97"/>
      <c r="F485" s="98"/>
      <c r="K485" s="6"/>
      <c r="L485" s="6"/>
    </row>
    <row r="486" spans="1:12" ht="13">
      <c r="A486" s="97"/>
      <c r="B486" s="97"/>
      <c r="F486" s="98"/>
      <c r="K486" s="6"/>
      <c r="L486" s="6"/>
    </row>
    <row r="487" spans="1:12" ht="13">
      <c r="A487" s="97"/>
      <c r="B487" s="97"/>
      <c r="F487" s="98"/>
      <c r="K487" s="6"/>
      <c r="L487" s="6"/>
    </row>
    <row r="488" spans="1:12" ht="13">
      <c r="A488" s="97"/>
      <c r="B488" s="97"/>
      <c r="F488" s="98"/>
      <c r="K488" s="6"/>
      <c r="L488" s="6"/>
    </row>
    <row r="489" spans="1:12" ht="13">
      <c r="A489" s="97"/>
      <c r="B489" s="97"/>
      <c r="F489" s="98"/>
      <c r="K489" s="6"/>
      <c r="L489" s="6"/>
    </row>
    <row r="490" spans="1:12" ht="13">
      <c r="A490" s="97"/>
      <c r="B490" s="97"/>
      <c r="F490" s="98"/>
      <c r="K490" s="6"/>
      <c r="L490" s="6"/>
    </row>
    <row r="491" spans="1:12" ht="13">
      <c r="A491" s="97"/>
      <c r="B491" s="97"/>
      <c r="F491" s="98"/>
      <c r="K491" s="6"/>
      <c r="L491" s="6"/>
    </row>
    <row r="492" spans="1:12" ht="13">
      <c r="A492" s="97"/>
      <c r="B492" s="97"/>
      <c r="F492" s="98"/>
      <c r="K492" s="6"/>
      <c r="L492" s="6"/>
    </row>
    <row r="493" spans="1:12" ht="13">
      <c r="A493" s="97"/>
      <c r="B493" s="97"/>
      <c r="F493" s="98"/>
      <c r="K493" s="6"/>
      <c r="L493" s="6"/>
    </row>
    <row r="494" spans="1:12" ht="13">
      <c r="A494" s="97"/>
      <c r="B494" s="97"/>
      <c r="F494" s="98"/>
      <c r="K494" s="6"/>
      <c r="L494" s="6"/>
    </row>
    <row r="495" spans="1:12" ht="13">
      <c r="A495" s="97"/>
      <c r="B495" s="97"/>
      <c r="F495" s="98"/>
      <c r="K495" s="6"/>
      <c r="L495" s="6"/>
    </row>
    <row r="496" spans="1:12" ht="13">
      <c r="A496" s="97"/>
      <c r="B496" s="97"/>
      <c r="F496" s="98"/>
      <c r="K496" s="6"/>
      <c r="L496" s="6"/>
    </row>
    <row r="497" spans="1:12" ht="13">
      <c r="A497" s="97"/>
      <c r="B497" s="97"/>
      <c r="F497" s="98"/>
      <c r="K497" s="6"/>
      <c r="L497" s="6"/>
    </row>
    <row r="498" spans="1:12" ht="13">
      <c r="A498" s="97"/>
      <c r="B498" s="97"/>
      <c r="F498" s="98"/>
      <c r="K498" s="6"/>
      <c r="L498" s="6"/>
    </row>
    <row r="499" spans="1:12" ht="13">
      <c r="A499" s="97"/>
      <c r="B499" s="97"/>
      <c r="F499" s="98"/>
      <c r="K499" s="6"/>
      <c r="L499" s="6"/>
    </row>
    <row r="500" spans="1:12" ht="13">
      <c r="A500" s="97"/>
      <c r="B500" s="97"/>
      <c r="F500" s="98"/>
      <c r="K500" s="6"/>
      <c r="L500" s="6"/>
    </row>
    <row r="501" spans="1:12" ht="13">
      <c r="A501" s="97"/>
      <c r="B501" s="97"/>
      <c r="F501" s="98"/>
      <c r="K501" s="6"/>
      <c r="L501" s="6"/>
    </row>
    <row r="502" spans="1:12" ht="13">
      <c r="A502" s="97"/>
      <c r="B502" s="97"/>
      <c r="F502" s="98"/>
      <c r="K502" s="6"/>
      <c r="L502" s="6"/>
    </row>
    <row r="503" spans="1:12" ht="13">
      <c r="A503" s="97"/>
      <c r="B503" s="97"/>
      <c r="F503" s="98"/>
      <c r="K503" s="6"/>
      <c r="L503" s="6"/>
    </row>
    <row r="504" spans="1:12" ht="13">
      <c r="A504" s="97"/>
      <c r="B504" s="97"/>
      <c r="F504" s="98"/>
      <c r="K504" s="6"/>
      <c r="L504" s="6"/>
    </row>
    <row r="505" spans="1:12" ht="13">
      <c r="A505" s="97"/>
      <c r="B505" s="97"/>
      <c r="F505" s="98"/>
      <c r="K505" s="6"/>
      <c r="L505" s="6"/>
    </row>
    <row r="506" spans="1:12" ht="13">
      <c r="A506" s="97"/>
      <c r="B506" s="97"/>
      <c r="F506" s="98"/>
      <c r="K506" s="6"/>
      <c r="L506" s="6"/>
    </row>
    <row r="507" spans="1:12" ht="13">
      <c r="A507" s="97"/>
      <c r="B507" s="97"/>
      <c r="F507" s="98"/>
      <c r="K507" s="6"/>
      <c r="L507" s="6"/>
    </row>
    <row r="508" spans="1:12" ht="13">
      <c r="A508" s="97"/>
      <c r="B508" s="97"/>
      <c r="F508" s="98"/>
      <c r="K508" s="6"/>
      <c r="L508" s="6"/>
    </row>
    <row r="509" spans="1:12" ht="13">
      <c r="A509" s="97"/>
      <c r="B509" s="97"/>
      <c r="F509" s="98"/>
      <c r="K509" s="6"/>
      <c r="L509" s="6"/>
    </row>
    <row r="510" spans="1:12" ht="13">
      <c r="A510" s="97"/>
      <c r="B510" s="97"/>
      <c r="F510" s="98"/>
      <c r="K510" s="6"/>
      <c r="L510" s="6"/>
    </row>
    <row r="511" spans="1:12" ht="13">
      <c r="A511" s="97"/>
      <c r="B511" s="97"/>
      <c r="F511" s="98"/>
      <c r="K511" s="6"/>
      <c r="L511" s="6"/>
    </row>
    <row r="512" spans="1:12" ht="13">
      <c r="A512" s="97"/>
      <c r="B512" s="97"/>
      <c r="F512" s="98"/>
      <c r="K512" s="6"/>
      <c r="L512" s="6"/>
    </row>
    <row r="513" spans="1:12" ht="13">
      <c r="A513" s="97"/>
      <c r="B513" s="97"/>
      <c r="F513" s="98"/>
      <c r="K513" s="6"/>
      <c r="L513" s="6"/>
    </row>
    <row r="514" spans="1:12" ht="13">
      <c r="A514" s="97"/>
      <c r="B514" s="97"/>
      <c r="F514" s="98"/>
      <c r="K514" s="6"/>
      <c r="L514" s="6"/>
    </row>
    <row r="515" spans="1:12" ht="13">
      <c r="A515" s="97"/>
      <c r="B515" s="97"/>
      <c r="F515" s="98"/>
      <c r="K515" s="6"/>
      <c r="L515" s="6"/>
    </row>
    <row r="516" spans="1:12" ht="13">
      <c r="A516" s="97"/>
      <c r="B516" s="97"/>
      <c r="F516" s="98"/>
      <c r="K516" s="6"/>
      <c r="L516" s="6"/>
    </row>
    <row r="517" spans="1:12" ht="13">
      <c r="A517" s="97"/>
      <c r="B517" s="97"/>
      <c r="F517" s="98"/>
      <c r="K517" s="6"/>
      <c r="L517" s="6"/>
    </row>
    <row r="518" spans="1:12" ht="13">
      <c r="A518" s="97"/>
      <c r="B518" s="97"/>
      <c r="F518" s="98"/>
      <c r="K518" s="6"/>
      <c r="L518" s="6"/>
    </row>
    <row r="519" spans="1:12" ht="13">
      <c r="A519" s="97"/>
      <c r="B519" s="97"/>
      <c r="F519" s="98"/>
      <c r="K519" s="6"/>
      <c r="L519" s="6"/>
    </row>
    <row r="520" spans="1:12" ht="13">
      <c r="A520" s="97"/>
      <c r="B520" s="97"/>
      <c r="F520" s="98"/>
      <c r="K520" s="6"/>
      <c r="L520" s="6"/>
    </row>
    <row r="521" spans="1:12" ht="13">
      <c r="A521" s="97"/>
      <c r="B521" s="97"/>
      <c r="F521" s="98"/>
      <c r="K521" s="6"/>
      <c r="L521" s="6"/>
    </row>
    <row r="522" spans="1:12" ht="13">
      <c r="A522" s="97"/>
      <c r="B522" s="97"/>
      <c r="F522" s="98"/>
      <c r="K522" s="6"/>
      <c r="L522" s="6"/>
    </row>
    <row r="523" spans="1:12" ht="13">
      <c r="A523" s="97"/>
      <c r="B523" s="97"/>
      <c r="F523" s="98"/>
      <c r="K523" s="6"/>
      <c r="L523" s="6"/>
    </row>
    <row r="524" spans="1:12" ht="13">
      <c r="A524" s="97"/>
      <c r="B524" s="97"/>
      <c r="F524" s="98"/>
      <c r="K524" s="6"/>
      <c r="L524" s="6"/>
    </row>
    <row r="525" spans="1:12" ht="13">
      <c r="A525" s="97"/>
      <c r="B525" s="97"/>
      <c r="F525" s="98"/>
      <c r="K525" s="6"/>
      <c r="L525" s="6"/>
    </row>
    <row r="526" spans="1:12" ht="13">
      <c r="A526" s="97"/>
      <c r="B526" s="97"/>
      <c r="F526" s="98"/>
      <c r="K526" s="6"/>
      <c r="L526" s="6"/>
    </row>
    <row r="527" spans="1:12" ht="13">
      <c r="A527" s="97"/>
      <c r="B527" s="97"/>
      <c r="F527" s="98"/>
      <c r="K527" s="6"/>
      <c r="L527" s="6"/>
    </row>
    <row r="528" spans="1:12" ht="13">
      <c r="A528" s="97"/>
      <c r="B528" s="97"/>
      <c r="F528" s="98"/>
      <c r="K528" s="6"/>
      <c r="L528" s="6"/>
    </row>
    <row r="529" spans="1:12" ht="13">
      <c r="A529" s="97"/>
      <c r="B529" s="97"/>
      <c r="F529" s="98"/>
      <c r="K529" s="6"/>
      <c r="L529" s="6"/>
    </row>
    <row r="530" spans="1:12" ht="13">
      <c r="A530" s="97"/>
      <c r="B530" s="97"/>
      <c r="F530" s="98"/>
      <c r="K530" s="6"/>
      <c r="L530" s="6"/>
    </row>
    <row r="531" spans="1:12" ht="13">
      <c r="A531" s="97"/>
      <c r="B531" s="97"/>
      <c r="F531" s="98"/>
      <c r="K531" s="6"/>
      <c r="L531" s="6"/>
    </row>
    <row r="532" spans="1:12" ht="13">
      <c r="A532" s="97"/>
      <c r="B532" s="97"/>
      <c r="F532" s="98"/>
      <c r="K532" s="6"/>
      <c r="L532" s="6"/>
    </row>
    <row r="533" spans="1:12" ht="13">
      <c r="A533" s="97"/>
      <c r="B533" s="97"/>
      <c r="F533" s="98"/>
      <c r="K533" s="6"/>
      <c r="L533" s="6"/>
    </row>
    <row r="534" spans="1:12" ht="13">
      <c r="A534" s="97"/>
      <c r="B534" s="97"/>
      <c r="F534" s="98"/>
      <c r="K534" s="6"/>
      <c r="L534" s="6"/>
    </row>
    <row r="535" spans="1:12" ht="13">
      <c r="A535" s="97"/>
      <c r="B535" s="97"/>
      <c r="F535" s="98"/>
      <c r="K535" s="6"/>
      <c r="L535" s="6"/>
    </row>
    <row r="536" spans="1:12" ht="13">
      <c r="A536" s="97"/>
      <c r="B536" s="97"/>
      <c r="F536" s="98"/>
      <c r="K536" s="6"/>
      <c r="L536" s="6"/>
    </row>
    <row r="537" spans="1:12" ht="13">
      <c r="A537" s="97"/>
      <c r="B537" s="97"/>
      <c r="F537" s="98"/>
      <c r="K537" s="6"/>
      <c r="L537" s="6"/>
    </row>
    <row r="538" spans="1:12" ht="13">
      <c r="A538" s="97"/>
      <c r="B538" s="97"/>
      <c r="F538" s="98"/>
      <c r="K538" s="6"/>
      <c r="L538" s="6"/>
    </row>
    <row r="539" spans="1:12" ht="13">
      <c r="A539" s="97"/>
      <c r="B539" s="97"/>
      <c r="F539" s="98"/>
      <c r="K539" s="6"/>
      <c r="L539" s="6"/>
    </row>
    <row r="540" spans="1:12" ht="13">
      <c r="A540" s="97"/>
      <c r="B540" s="97"/>
      <c r="F540" s="98"/>
      <c r="K540" s="6"/>
      <c r="L540" s="6"/>
    </row>
    <row r="541" spans="1:12" ht="13">
      <c r="A541" s="97"/>
      <c r="B541" s="97"/>
      <c r="F541" s="98"/>
      <c r="K541" s="6"/>
      <c r="L541" s="6"/>
    </row>
    <row r="542" spans="1:12" ht="13">
      <c r="A542" s="97"/>
      <c r="B542" s="97"/>
      <c r="F542" s="98"/>
      <c r="K542" s="6"/>
      <c r="L542" s="6"/>
    </row>
    <row r="543" spans="1:12" ht="13">
      <c r="A543" s="97"/>
      <c r="B543" s="97"/>
      <c r="F543" s="98"/>
      <c r="K543" s="6"/>
      <c r="L543" s="6"/>
    </row>
    <row r="544" spans="1:12" ht="13">
      <c r="A544" s="97"/>
      <c r="B544" s="97"/>
      <c r="F544" s="98"/>
      <c r="K544" s="6"/>
      <c r="L544" s="6"/>
    </row>
    <row r="545" spans="1:12" ht="13">
      <c r="A545" s="97"/>
      <c r="B545" s="97"/>
      <c r="F545" s="98"/>
      <c r="K545" s="6"/>
      <c r="L545" s="6"/>
    </row>
    <row r="546" spans="1:12" ht="13">
      <c r="A546" s="97"/>
      <c r="B546" s="97"/>
      <c r="F546" s="98"/>
      <c r="K546" s="6"/>
      <c r="L546" s="6"/>
    </row>
    <row r="547" spans="1:12" ht="13">
      <c r="A547" s="97"/>
      <c r="B547" s="97"/>
      <c r="F547" s="98"/>
      <c r="K547" s="6"/>
      <c r="L547" s="6"/>
    </row>
    <row r="548" spans="1:12" ht="13">
      <c r="A548" s="97"/>
      <c r="B548" s="97"/>
      <c r="F548" s="98"/>
      <c r="K548" s="6"/>
      <c r="L548" s="6"/>
    </row>
    <row r="549" spans="1:12" ht="13">
      <c r="A549" s="97"/>
      <c r="B549" s="97"/>
      <c r="F549" s="98"/>
      <c r="K549" s="6"/>
      <c r="L549" s="6"/>
    </row>
    <row r="550" spans="1:12" ht="13">
      <c r="A550" s="97"/>
      <c r="B550" s="97"/>
      <c r="F550" s="98"/>
      <c r="K550" s="6"/>
      <c r="L550" s="6"/>
    </row>
    <row r="551" spans="1:12" ht="13">
      <c r="A551" s="97"/>
      <c r="B551" s="97"/>
      <c r="F551" s="98"/>
      <c r="K551" s="6"/>
      <c r="L551" s="6"/>
    </row>
    <row r="552" spans="1:12" ht="13">
      <c r="A552" s="97"/>
      <c r="B552" s="97"/>
      <c r="F552" s="98"/>
      <c r="K552" s="6"/>
      <c r="L552" s="6"/>
    </row>
    <row r="553" spans="1:12" ht="13">
      <c r="A553" s="97"/>
      <c r="B553" s="97"/>
      <c r="F553" s="98"/>
      <c r="K553" s="6"/>
      <c r="L553" s="6"/>
    </row>
    <row r="554" spans="1:12" ht="13">
      <c r="A554" s="97"/>
      <c r="B554" s="97"/>
      <c r="F554" s="98"/>
      <c r="K554" s="6"/>
      <c r="L554" s="6"/>
    </row>
    <row r="555" spans="1:12" ht="13">
      <c r="A555" s="97"/>
      <c r="B555" s="97"/>
      <c r="F555" s="98"/>
      <c r="K555" s="6"/>
      <c r="L555" s="6"/>
    </row>
    <row r="556" spans="1:12" ht="13">
      <c r="A556" s="97"/>
      <c r="B556" s="97"/>
      <c r="F556" s="98"/>
      <c r="K556" s="6"/>
      <c r="L556" s="6"/>
    </row>
    <row r="557" spans="1:12" ht="13">
      <c r="A557" s="97"/>
      <c r="B557" s="97"/>
      <c r="F557" s="98"/>
      <c r="K557" s="6"/>
      <c r="L557" s="6"/>
    </row>
    <row r="558" spans="1:12" ht="13">
      <c r="A558" s="97"/>
      <c r="B558" s="97"/>
      <c r="F558" s="98"/>
      <c r="K558" s="6"/>
      <c r="L558" s="6"/>
    </row>
    <row r="559" spans="1:12" ht="13">
      <c r="A559" s="97"/>
      <c r="B559" s="97"/>
      <c r="F559" s="98"/>
      <c r="K559" s="6"/>
      <c r="L559" s="6"/>
    </row>
    <row r="560" spans="1:12" ht="13">
      <c r="A560" s="97"/>
      <c r="B560" s="97"/>
      <c r="F560" s="98"/>
      <c r="K560" s="6"/>
      <c r="L560" s="6"/>
    </row>
    <row r="561" spans="1:12" ht="13">
      <c r="A561" s="97"/>
      <c r="B561" s="97"/>
      <c r="F561" s="98"/>
      <c r="K561" s="6"/>
      <c r="L561" s="6"/>
    </row>
    <row r="562" spans="1:12" ht="13">
      <c r="A562" s="97"/>
      <c r="B562" s="97"/>
      <c r="F562" s="98"/>
      <c r="K562" s="6"/>
      <c r="L562" s="6"/>
    </row>
    <row r="563" spans="1:12" ht="13">
      <c r="A563" s="97"/>
      <c r="B563" s="97"/>
      <c r="F563" s="98"/>
      <c r="K563" s="6"/>
      <c r="L563" s="6"/>
    </row>
    <row r="564" spans="1:12" ht="13">
      <c r="A564" s="97"/>
      <c r="B564" s="97"/>
      <c r="F564" s="98"/>
      <c r="K564" s="6"/>
      <c r="L564" s="6"/>
    </row>
    <row r="565" spans="1:12" ht="13">
      <c r="A565" s="97"/>
      <c r="B565" s="97"/>
      <c r="F565" s="98"/>
      <c r="K565" s="6"/>
      <c r="L565" s="6"/>
    </row>
    <row r="566" spans="1:12" ht="13">
      <c r="A566" s="97"/>
      <c r="B566" s="97"/>
      <c r="F566" s="98"/>
      <c r="K566" s="6"/>
      <c r="L566" s="6"/>
    </row>
    <row r="567" spans="1:12" ht="13">
      <c r="A567" s="97"/>
      <c r="B567" s="97"/>
      <c r="F567" s="98"/>
      <c r="K567" s="6"/>
      <c r="L567" s="6"/>
    </row>
    <row r="568" spans="1:12" ht="13">
      <c r="A568" s="97"/>
      <c r="B568" s="97"/>
      <c r="F568" s="98"/>
      <c r="K568" s="6"/>
      <c r="L568" s="6"/>
    </row>
    <row r="569" spans="1:12" ht="13">
      <c r="A569" s="97"/>
      <c r="B569" s="97"/>
      <c r="F569" s="98"/>
      <c r="K569" s="6"/>
      <c r="L569" s="6"/>
    </row>
    <row r="570" spans="1:12" ht="13">
      <c r="A570" s="97"/>
      <c r="B570" s="97"/>
      <c r="F570" s="98"/>
      <c r="K570" s="6"/>
      <c r="L570" s="6"/>
    </row>
    <row r="571" spans="1:12" ht="13">
      <c r="A571" s="97"/>
      <c r="B571" s="97"/>
      <c r="F571" s="98"/>
      <c r="K571" s="6"/>
      <c r="L571" s="6"/>
    </row>
    <row r="572" spans="1:12" ht="13">
      <c r="A572" s="97"/>
      <c r="B572" s="97"/>
      <c r="F572" s="98"/>
      <c r="K572" s="6"/>
      <c r="L572" s="6"/>
    </row>
    <row r="573" spans="1:12" ht="13">
      <c r="A573" s="97"/>
      <c r="B573" s="97"/>
      <c r="F573" s="98"/>
      <c r="K573" s="6"/>
      <c r="L573" s="6"/>
    </row>
    <row r="574" spans="1:12" ht="13">
      <c r="A574" s="97"/>
      <c r="B574" s="97"/>
      <c r="F574" s="98"/>
      <c r="K574" s="6"/>
      <c r="L574" s="6"/>
    </row>
    <row r="575" spans="1:12" ht="13">
      <c r="A575" s="97"/>
      <c r="B575" s="97"/>
      <c r="F575" s="98"/>
      <c r="K575" s="6"/>
      <c r="L575" s="6"/>
    </row>
    <row r="576" spans="1:12" ht="13">
      <c r="A576" s="97"/>
      <c r="B576" s="97"/>
      <c r="F576" s="98"/>
      <c r="K576" s="6"/>
      <c r="L576" s="6"/>
    </row>
    <row r="577" spans="1:12" ht="13">
      <c r="A577" s="97"/>
      <c r="B577" s="97"/>
      <c r="F577" s="98"/>
      <c r="K577" s="6"/>
      <c r="L577" s="6"/>
    </row>
    <row r="578" spans="1:12" ht="13">
      <c r="A578" s="97"/>
      <c r="B578" s="97"/>
      <c r="F578" s="98"/>
      <c r="K578" s="6"/>
      <c r="L578" s="6"/>
    </row>
    <row r="579" spans="1:12" ht="13">
      <c r="A579" s="97"/>
      <c r="B579" s="97"/>
      <c r="F579" s="98"/>
      <c r="K579" s="6"/>
      <c r="L579" s="6"/>
    </row>
    <row r="580" spans="1:12" ht="13">
      <c r="A580" s="97"/>
      <c r="B580" s="97"/>
      <c r="F580" s="98"/>
      <c r="K580" s="6"/>
      <c r="L580" s="6"/>
    </row>
    <row r="581" spans="1:12" ht="13">
      <c r="A581" s="97"/>
      <c r="B581" s="97"/>
      <c r="F581" s="98"/>
      <c r="K581" s="6"/>
      <c r="L581" s="6"/>
    </row>
    <row r="582" spans="1:12" ht="13">
      <c r="A582" s="97"/>
      <c r="B582" s="97"/>
      <c r="F582" s="98"/>
      <c r="K582" s="6"/>
      <c r="L582" s="6"/>
    </row>
    <row r="583" spans="1:12" ht="13">
      <c r="A583" s="97"/>
      <c r="B583" s="97"/>
      <c r="F583" s="98"/>
      <c r="K583" s="6"/>
      <c r="L583" s="6"/>
    </row>
    <row r="584" spans="1:12" ht="13">
      <c r="A584" s="97"/>
      <c r="B584" s="97"/>
      <c r="F584" s="98"/>
      <c r="K584" s="6"/>
      <c r="L584" s="6"/>
    </row>
    <row r="585" spans="1:12" ht="13">
      <c r="A585" s="97"/>
      <c r="B585" s="97"/>
      <c r="F585" s="98"/>
      <c r="K585" s="6"/>
      <c r="L585" s="6"/>
    </row>
    <row r="586" spans="1:12" ht="13">
      <c r="A586" s="97"/>
      <c r="B586" s="97"/>
      <c r="F586" s="98"/>
      <c r="K586" s="6"/>
      <c r="L586" s="6"/>
    </row>
    <row r="587" spans="1:12" ht="13">
      <c r="A587" s="97"/>
      <c r="B587" s="97"/>
      <c r="F587" s="98"/>
      <c r="K587" s="6"/>
      <c r="L587" s="6"/>
    </row>
    <row r="588" spans="1:12" ht="13">
      <c r="A588" s="97"/>
      <c r="B588" s="97"/>
      <c r="F588" s="98"/>
      <c r="K588" s="6"/>
      <c r="L588" s="6"/>
    </row>
    <row r="589" spans="1:12" ht="13">
      <c r="A589" s="97"/>
      <c r="B589" s="97"/>
      <c r="F589" s="98"/>
      <c r="K589" s="6"/>
      <c r="L589" s="6"/>
    </row>
    <row r="590" spans="1:12" ht="13">
      <c r="A590" s="97"/>
      <c r="B590" s="97"/>
      <c r="F590" s="98"/>
      <c r="K590" s="6"/>
      <c r="L590" s="6"/>
    </row>
    <row r="591" spans="1:12" ht="13">
      <c r="A591" s="97"/>
      <c r="B591" s="97"/>
      <c r="F591" s="98"/>
      <c r="K591" s="6"/>
      <c r="L591" s="6"/>
    </row>
    <row r="592" spans="1:12" ht="13">
      <c r="A592" s="97"/>
      <c r="B592" s="97"/>
      <c r="F592" s="98"/>
      <c r="K592" s="6"/>
      <c r="L592" s="6"/>
    </row>
    <row r="593" spans="1:12" ht="13">
      <c r="A593" s="97"/>
      <c r="B593" s="97"/>
      <c r="F593" s="98"/>
      <c r="K593" s="6"/>
      <c r="L593" s="6"/>
    </row>
    <row r="594" spans="1:12" ht="13">
      <c r="A594" s="97"/>
      <c r="B594" s="97"/>
      <c r="F594" s="98"/>
      <c r="K594" s="6"/>
      <c r="L594" s="6"/>
    </row>
    <row r="595" spans="1:12" ht="13">
      <c r="A595" s="97"/>
      <c r="B595" s="97"/>
      <c r="F595" s="98"/>
      <c r="K595" s="6"/>
      <c r="L595" s="6"/>
    </row>
    <row r="596" spans="1:12" ht="13">
      <c r="A596" s="97"/>
      <c r="B596" s="97"/>
      <c r="F596" s="98"/>
      <c r="K596" s="6"/>
      <c r="L596" s="6"/>
    </row>
    <row r="597" spans="1:12" ht="13">
      <c r="A597" s="97"/>
      <c r="B597" s="97"/>
      <c r="F597" s="98"/>
      <c r="K597" s="6"/>
      <c r="L597" s="6"/>
    </row>
    <row r="598" spans="1:12" ht="13">
      <c r="A598" s="97"/>
      <c r="B598" s="97"/>
      <c r="F598" s="98"/>
      <c r="K598" s="6"/>
      <c r="L598" s="6"/>
    </row>
    <row r="599" spans="1:12" ht="13">
      <c r="A599" s="97"/>
      <c r="B599" s="97"/>
      <c r="F599" s="98"/>
      <c r="K599" s="6"/>
      <c r="L599" s="6"/>
    </row>
    <row r="600" spans="1:12" ht="13">
      <c r="A600" s="97"/>
      <c r="B600" s="97"/>
      <c r="F600" s="98"/>
      <c r="K600" s="6"/>
      <c r="L600" s="6"/>
    </row>
    <row r="601" spans="1:12" ht="13">
      <c r="A601" s="97"/>
      <c r="B601" s="97"/>
      <c r="F601" s="98"/>
      <c r="K601" s="6"/>
      <c r="L601" s="6"/>
    </row>
    <row r="602" spans="1:12" ht="13">
      <c r="A602" s="97"/>
      <c r="B602" s="97"/>
      <c r="F602" s="98"/>
      <c r="K602" s="6"/>
      <c r="L602" s="6"/>
    </row>
    <row r="603" spans="1:12" ht="13">
      <c r="A603" s="97"/>
      <c r="B603" s="97"/>
      <c r="F603" s="98"/>
      <c r="K603" s="6"/>
      <c r="L603" s="6"/>
    </row>
    <row r="604" spans="1:12" ht="13">
      <c r="A604" s="97"/>
      <c r="B604" s="97"/>
      <c r="F604" s="98"/>
      <c r="K604" s="6"/>
      <c r="L604" s="6"/>
    </row>
    <row r="605" spans="1:12" ht="13">
      <c r="A605" s="97"/>
      <c r="B605" s="97"/>
      <c r="F605" s="98"/>
      <c r="K605" s="6"/>
      <c r="L605" s="6"/>
    </row>
    <row r="606" spans="1:12" ht="13">
      <c r="A606" s="97"/>
      <c r="B606" s="97"/>
      <c r="F606" s="98"/>
      <c r="K606" s="6"/>
      <c r="L606" s="6"/>
    </row>
    <row r="607" spans="1:12" ht="13">
      <c r="A607" s="97"/>
      <c r="B607" s="97"/>
      <c r="F607" s="98"/>
      <c r="K607" s="6"/>
      <c r="L607" s="6"/>
    </row>
    <row r="608" spans="1:12" ht="13">
      <c r="A608" s="97"/>
      <c r="B608" s="97"/>
      <c r="F608" s="98"/>
      <c r="K608" s="6"/>
      <c r="L608" s="6"/>
    </row>
    <row r="609" spans="1:12" ht="13">
      <c r="A609" s="97"/>
      <c r="B609" s="97"/>
      <c r="F609" s="98"/>
      <c r="K609" s="6"/>
      <c r="L609" s="6"/>
    </row>
    <row r="610" spans="1:12" ht="13">
      <c r="A610" s="97"/>
      <c r="B610" s="97"/>
      <c r="F610" s="98"/>
      <c r="K610" s="6"/>
      <c r="L610" s="6"/>
    </row>
    <row r="611" spans="1:12" ht="13">
      <c r="A611" s="97"/>
      <c r="B611" s="97"/>
      <c r="F611" s="98"/>
      <c r="K611" s="6"/>
      <c r="L611" s="6"/>
    </row>
    <row r="612" spans="1:12" ht="13">
      <c r="A612" s="97"/>
      <c r="B612" s="97"/>
      <c r="F612" s="98"/>
      <c r="K612" s="6"/>
      <c r="L612" s="6"/>
    </row>
    <row r="613" spans="1:12" ht="13">
      <c r="A613" s="97"/>
      <c r="B613" s="97"/>
      <c r="F613" s="98"/>
      <c r="K613" s="6"/>
      <c r="L613" s="6"/>
    </row>
    <row r="614" spans="1:12" ht="13">
      <c r="A614" s="97"/>
      <c r="B614" s="97"/>
      <c r="F614" s="98"/>
      <c r="K614" s="6"/>
      <c r="L614" s="6"/>
    </row>
    <row r="615" spans="1:12" ht="13">
      <c r="A615" s="97"/>
      <c r="B615" s="97"/>
      <c r="F615" s="98"/>
      <c r="K615" s="6"/>
      <c r="L615" s="6"/>
    </row>
    <row r="616" spans="1:12" ht="13">
      <c r="A616" s="97"/>
      <c r="B616" s="97"/>
      <c r="F616" s="98"/>
      <c r="K616" s="6"/>
      <c r="L616" s="6"/>
    </row>
    <row r="617" spans="1:12" ht="13">
      <c r="A617" s="97"/>
      <c r="B617" s="97"/>
      <c r="F617" s="98"/>
      <c r="K617" s="6"/>
      <c r="L617" s="6"/>
    </row>
    <row r="618" spans="1:12" ht="13">
      <c r="A618" s="97"/>
      <c r="B618" s="97"/>
      <c r="F618" s="98"/>
      <c r="K618" s="6"/>
      <c r="L618" s="6"/>
    </row>
    <row r="619" spans="1:12" ht="13">
      <c r="A619" s="97"/>
      <c r="B619" s="97"/>
      <c r="F619" s="98"/>
      <c r="K619" s="6"/>
      <c r="L619" s="6"/>
    </row>
    <row r="620" spans="1:12" ht="13">
      <c r="A620" s="97"/>
      <c r="B620" s="97"/>
      <c r="F620" s="98"/>
      <c r="K620" s="6"/>
      <c r="L620" s="6"/>
    </row>
    <row r="621" spans="1:12" ht="13">
      <c r="A621" s="97"/>
      <c r="B621" s="97"/>
      <c r="F621" s="98"/>
      <c r="K621" s="6"/>
      <c r="L621" s="6"/>
    </row>
    <row r="622" spans="1:12" ht="13">
      <c r="A622" s="97"/>
      <c r="B622" s="97"/>
      <c r="F622" s="98"/>
      <c r="K622" s="6"/>
      <c r="L622" s="6"/>
    </row>
    <row r="623" spans="1:12" ht="13">
      <c r="A623" s="97"/>
      <c r="B623" s="97"/>
      <c r="F623" s="98"/>
      <c r="K623" s="6"/>
      <c r="L623" s="6"/>
    </row>
    <row r="624" spans="1:12" ht="13">
      <c r="A624" s="97"/>
      <c r="B624" s="97"/>
      <c r="F624" s="98"/>
      <c r="K624" s="6"/>
      <c r="L624" s="6"/>
    </row>
    <row r="625" spans="1:12" ht="13">
      <c r="A625" s="97"/>
      <c r="B625" s="97"/>
      <c r="F625" s="98"/>
      <c r="K625" s="6"/>
      <c r="L625" s="6"/>
    </row>
    <row r="626" spans="1:12" ht="13">
      <c r="A626" s="97"/>
      <c r="B626" s="97"/>
      <c r="F626" s="98"/>
      <c r="K626" s="6"/>
      <c r="L626" s="6"/>
    </row>
    <row r="627" spans="1:12" ht="13">
      <c r="A627" s="97"/>
      <c r="B627" s="97"/>
      <c r="F627" s="98"/>
      <c r="K627" s="6"/>
      <c r="L627" s="6"/>
    </row>
    <row r="628" spans="1:12" ht="13">
      <c r="A628" s="97"/>
      <c r="B628" s="97"/>
      <c r="F628" s="98"/>
      <c r="K628" s="6"/>
      <c r="L628" s="6"/>
    </row>
    <row r="629" spans="1:12" ht="13">
      <c r="A629" s="97"/>
      <c r="B629" s="97"/>
      <c r="F629" s="98"/>
      <c r="K629" s="6"/>
      <c r="L629" s="6"/>
    </row>
    <row r="630" spans="1:12" ht="13">
      <c r="A630" s="97"/>
      <c r="B630" s="97"/>
      <c r="F630" s="98"/>
      <c r="K630" s="6"/>
      <c r="L630" s="6"/>
    </row>
    <row r="631" spans="1:12" ht="13">
      <c r="A631" s="97"/>
      <c r="B631" s="97"/>
      <c r="F631" s="98"/>
      <c r="K631" s="6"/>
      <c r="L631" s="6"/>
    </row>
    <row r="632" spans="1:12" ht="13">
      <c r="A632" s="97"/>
      <c r="B632" s="97"/>
      <c r="F632" s="98"/>
      <c r="K632" s="6"/>
      <c r="L632" s="6"/>
    </row>
    <row r="633" spans="1:12" ht="13">
      <c r="A633" s="97"/>
      <c r="B633" s="97"/>
      <c r="F633" s="98"/>
      <c r="K633" s="6"/>
      <c r="L633" s="6"/>
    </row>
    <row r="634" spans="1:12" ht="13">
      <c r="A634" s="97"/>
      <c r="B634" s="97"/>
      <c r="F634" s="98"/>
      <c r="K634" s="6"/>
      <c r="L634" s="6"/>
    </row>
    <row r="635" spans="1:12" ht="13">
      <c r="A635" s="97"/>
      <c r="B635" s="97"/>
      <c r="F635" s="98"/>
      <c r="K635" s="6"/>
      <c r="L635" s="6"/>
    </row>
    <row r="636" spans="1:12" ht="13">
      <c r="A636" s="97"/>
      <c r="B636" s="97"/>
      <c r="F636" s="98"/>
      <c r="K636" s="6"/>
      <c r="L636" s="6"/>
    </row>
    <row r="637" spans="1:12" ht="13">
      <c r="A637" s="97"/>
      <c r="B637" s="97"/>
      <c r="F637" s="98"/>
      <c r="K637" s="6"/>
      <c r="L637" s="6"/>
    </row>
    <row r="638" spans="1:12" ht="13">
      <c r="A638" s="97"/>
      <c r="B638" s="97"/>
      <c r="F638" s="98"/>
      <c r="K638" s="6"/>
      <c r="L638" s="6"/>
    </row>
    <row r="639" spans="1:12" ht="13">
      <c r="A639" s="97"/>
      <c r="B639" s="97"/>
      <c r="F639" s="98"/>
      <c r="K639" s="6"/>
      <c r="L639" s="6"/>
    </row>
    <row r="640" spans="1:12" ht="13">
      <c r="A640" s="97"/>
      <c r="B640" s="97"/>
      <c r="F640" s="98"/>
      <c r="K640" s="6"/>
      <c r="L640" s="6"/>
    </row>
    <row r="641" spans="1:12" ht="13">
      <c r="A641" s="97"/>
      <c r="B641" s="97"/>
      <c r="F641" s="98"/>
      <c r="K641" s="6"/>
      <c r="L641" s="6"/>
    </row>
    <row r="642" spans="1:12" ht="13">
      <c r="A642" s="97"/>
      <c r="B642" s="97"/>
      <c r="F642" s="98"/>
      <c r="K642" s="6"/>
      <c r="L642" s="6"/>
    </row>
    <row r="643" spans="1:12" ht="13">
      <c r="A643" s="97"/>
      <c r="B643" s="97"/>
      <c r="F643" s="98"/>
      <c r="K643" s="6"/>
      <c r="L643" s="6"/>
    </row>
    <row r="644" spans="1:12" ht="13">
      <c r="A644" s="97"/>
      <c r="B644" s="97"/>
      <c r="F644" s="98"/>
      <c r="K644" s="6"/>
      <c r="L644" s="6"/>
    </row>
    <row r="645" spans="1:12" ht="13">
      <c r="A645" s="97"/>
      <c r="B645" s="97"/>
      <c r="F645" s="98"/>
      <c r="K645" s="6"/>
      <c r="L645" s="6"/>
    </row>
    <row r="646" spans="1:12" ht="13">
      <c r="A646" s="97"/>
      <c r="B646" s="97"/>
      <c r="F646" s="98"/>
      <c r="K646" s="6"/>
      <c r="L646" s="6"/>
    </row>
    <row r="647" spans="1:12" ht="13">
      <c r="A647" s="97"/>
      <c r="B647" s="97"/>
      <c r="F647" s="98"/>
      <c r="K647" s="6"/>
      <c r="L647" s="6"/>
    </row>
    <row r="648" spans="1:12" ht="13">
      <c r="A648" s="97"/>
      <c r="B648" s="97"/>
      <c r="F648" s="98"/>
      <c r="K648" s="6"/>
      <c r="L648" s="6"/>
    </row>
    <row r="649" spans="1:12" ht="13">
      <c r="A649" s="97"/>
      <c r="B649" s="97"/>
      <c r="F649" s="98"/>
      <c r="K649" s="6"/>
      <c r="L649" s="6"/>
    </row>
    <row r="650" spans="1:12" ht="13">
      <c r="A650" s="97"/>
      <c r="B650" s="97"/>
      <c r="F650" s="98"/>
      <c r="K650" s="6"/>
      <c r="L650" s="6"/>
    </row>
    <row r="651" spans="1:12" ht="13">
      <c r="A651" s="97"/>
      <c r="B651" s="97"/>
      <c r="F651" s="98"/>
      <c r="K651" s="6"/>
      <c r="L651" s="6"/>
    </row>
    <row r="652" spans="1:12" ht="13">
      <c r="A652" s="97"/>
      <c r="B652" s="97"/>
      <c r="F652" s="98"/>
      <c r="K652" s="6"/>
      <c r="L652" s="6"/>
    </row>
    <row r="653" spans="1:12" ht="13">
      <c r="A653" s="97"/>
      <c r="B653" s="97"/>
      <c r="F653" s="98"/>
      <c r="K653" s="6"/>
      <c r="L653" s="6"/>
    </row>
    <row r="654" spans="1:12" ht="13">
      <c r="A654" s="97"/>
      <c r="B654" s="97"/>
      <c r="F654" s="98"/>
      <c r="K654" s="6"/>
      <c r="L654" s="6"/>
    </row>
    <row r="655" spans="1:12" ht="13">
      <c r="A655" s="97"/>
      <c r="B655" s="97"/>
      <c r="F655" s="98"/>
      <c r="K655" s="6"/>
      <c r="L655" s="6"/>
    </row>
    <row r="656" spans="1:12" ht="13">
      <c r="A656" s="97"/>
      <c r="B656" s="97"/>
      <c r="F656" s="98"/>
      <c r="K656" s="6"/>
      <c r="L656" s="6"/>
    </row>
    <row r="657" spans="1:12" ht="13">
      <c r="A657" s="97"/>
      <c r="B657" s="97"/>
      <c r="F657" s="98"/>
      <c r="K657" s="6"/>
      <c r="L657" s="6"/>
    </row>
    <row r="658" spans="1:12" ht="13">
      <c r="A658" s="97"/>
      <c r="B658" s="97"/>
      <c r="F658" s="98"/>
      <c r="K658" s="6"/>
      <c r="L658" s="6"/>
    </row>
    <row r="659" spans="1:12" ht="13">
      <c r="A659" s="97"/>
      <c r="B659" s="97"/>
      <c r="F659" s="98"/>
      <c r="K659" s="6"/>
      <c r="L659" s="6"/>
    </row>
    <row r="660" spans="1:12" ht="13">
      <c r="A660" s="97"/>
      <c r="B660" s="97"/>
      <c r="F660" s="98"/>
      <c r="K660" s="6"/>
      <c r="L660" s="6"/>
    </row>
    <row r="661" spans="1:12" ht="13">
      <c r="A661" s="97"/>
      <c r="B661" s="97"/>
      <c r="F661" s="98"/>
      <c r="K661" s="6"/>
      <c r="L661" s="6"/>
    </row>
    <row r="662" spans="1:12" ht="13">
      <c r="A662" s="97"/>
      <c r="B662" s="97"/>
      <c r="F662" s="98"/>
      <c r="K662" s="6"/>
      <c r="L662" s="6"/>
    </row>
    <row r="663" spans="1:12" ht="13">
      <c r="A663" s="97"/>
      <c r="B663" s="97"/>
      <c r="F663" s="98"/>
      <c r="K663" s="6"/>
      <c r="L663" s="6"/>
    </row>
    <row r="664" spans="1:12" ht="13">
      <c r="A664" s="97"/>
      <c r="B664" s="97"/>
      <c r="F664" s="98"/>
      <c r="K664" s="6"/>
      <c r="L664" s="6"/>
    </row>
    <row r="665" spans="1:12" ht="13">
      <c r="A665" s="97"/>
      <c r="B665" s="97"/>
      <c r="F665" s="98"/>
      <c r="K665" s="6"/>
      <c r="L665" s="6"/>
    </row>
    <row r="666" spans="1:12" ht="13">
      <c r="A666" s="97"/>
      <c r="B666" s="97"/>
      <c r="F666" s="98"/>
      <c r="K666" s="6"/>
      <c r="L666" s="6"/>
    </row>
    <row r="667" spans="1:12" ht="13">
      <c r="A667" s="97"/>
      <c r="B667" s="97"/>
      <c r="F667" s="98"/>
      <c r="K667" s="6"/>
      <c r="L667" s="6"/>
    </row>
    <row r="668" spans="1:12" ht="13">
      <c r="A668" s="97"/>
      <c r="B668" s="97"/>
      <c r="F668" s="98"/>
      <c r="K668" s="6"/>
      <c r="L668" s="6"/>
    </row>
    <row r="669" spans="1:12" ht="13">
      <c r="A669" s="97"/>
      <c r="B669" s="97"/>
      <c r="F669" s="98"/>
      <c r="K669" s="6"/>
      <c r="L669" s="6"/>
    </row>
    <row r="670" spans="1:12" ht="13">
      <c r="A670" s="97"/>
      <c r="B670" s="97"/>
      <c r="F670" s="98"/>
      <c r="K670" s="6"/>
      <c r="L670" s="6"/>
    </row>
    <row r="671" spans="1:12" ht="13">
      <c r="A671" s="97"/>
      <c r="B671" s="97"/>
      <c r="F671" s="98"/>
      <c r="K671" s="6"/>
      <c r="L671" s="6"/>
    </row>
    <row r="672" spans="1:12" ht="13">
      <c r="A672" s="97"/>
      <c r="B672" s="97"/>
      <c r="F672" s="98"/>
      <c r="K672" s="6"/>
      <c r="L672" s="6"/>
    </row>
    <row r="673" spans="1:12" ht="13">
      <c r="A673" s="97"/>
      <c r="B673" s="97"/>
      <c r="F673" s="98"/>
      <c r="K673" s="6"/>
      <c r="L673" s="6"/>
    </row>
    <row r="674" spans="1:12" ht="13">
      <c r="A674" s="97"/>
      <c r="B674" s="97"/>
      <c r="F674" s="98"/>
      <c r="K674" s="6"/>
      <c r="L674" s="6"/>
    </row>
    <row r="675" spans="1:12" ht="13">
      <c r="A675" s="97"/>
      <c r="B675" s="97"/>
      <c r="F675" s="98"/>
      <c r="K675" s="6"/>
      <c r="L675" s="6"/>
    </row>
    <row r="676" spans="1:12" ht="13">
      <c r="A676" s="97"/>
      <c r="B676" s="97"/>
      <c r="F676" s="98"/>
      <c r="K676" s="6"/>
      <c r="L676" s="6"/>
    </row>
    <row r="677" spans="1:12" ht="13">
      <c r="A677" s="97"/>
      <c r="B677" s="97"/>
      <c r="F677" s="98"/>
      <c r="K677" s="6"/>
      <c r="L677" s="6"/>
    </row>
    <row r="678" spans="1:12" ht="13">
      <c r="A678" s="97"/>
      <c r="B678" s="97"/>
      <c r="F678" s="98"/>
      <c r="K678" s="6"/>
      <c r="L678" s="6"/>
    </row>
    <row r="679" spans="1:12" ht="13">
      <c r="A679" s="97"/>
      <c r="B679" s="97"/>
      <c r="F679" s="98"/>
      <c r="K679" s="6"/>
      <c r="L679" s="6"/>
    </row>
    <row r="680" spans="1:12" ht="13">
      <c r="A680" s="97"/>
      <c r="B680" s="97"/>
      <c r="F680" s="98"/>
      <c r="K680" s="6"/>
      <c r="L680" s="6"/>
    </row>
    <row r="681" spans="1:12" ht="13">
      <c r="A681" s="97"/>
      <c r="B681" s="97"/>
      <c r="F681" s="98"/>
      <c r="K681" s="6"/>
      <c r="L681" s="6"/>
    </row>
    <row r="682" spans="1:12" ht="13">
      <c r="A682" s="97"/>
      <c r="B682" s="97"/>
      <c r="F682" s="98"/>
      <c r="K682" s="6"/>
      <c r="L682" s="6"/>
    </row>
    <row r="683" spans="1:12" ht="13">
      <c r="A683" s="97"/>
      <c r="B683" s="97"/>
      <c r="F683" s="98"/>
      <c r="K683" s="6"/>
      <c r="L683" s="6"/>
    </row>
    <row r="684" spans="1:12" ht="13">
      <c r="A684" s="97"/>
      <c r="B684" s="97"/>
      <c r="F684" s="98"/>
      <c r="K684" s="6"/>
      <c r="L684" s="6"/>
    </row>
    <row r="685" spans="1:12" ht="13">
      <c r="A685" s="97"/>
      <c r="B685" s="97"/>
      <c r="F685" s="98"/>
      <c r="K685" s="6"/>
      <c r="L685" s="6"/>
    </row>
    <row r="686" spans="1:12" ht="13">
      <c r="A686" s="97"/>
      <c r="B686" s="97"/>
      <c r="F686" s="98"/>
      <c r="K686" s="6"/>
      <c r="L686" s="6"/>
    </row>
    <row r="687" spans="1:12" ht="13">
      <c r="A687" s="97"/>
      <c r="B687" s="97"/>
      <c r="F687" s="98"/>
      <c r="K687" s="6"/>
      <c r="L687" s="6"/>
    </row>
    <row r="688" spans="1:12" ht="13">
      <c r="A688" s="97"/>
      <c r="B688" s="97"/>
      <c r="F688" s="98"/>
      <c r="K688" s="6"/>
      <c r="L688" s="6"/>
    </row>
    <row r="689" spans="1:12" ht="13">
      <c r="A689" s="97"/>
      <c r="B689" s="97"/>
      <c r="F689" s="98"/>
      <c r="K689" s="6"/>
      <c r="L689" s="6"/>
    </row>
    <row r="690" spans="1:12" ht="13">
      <c r="A690" s="97"/>
      <c r="B690" s="97"/>
      <c r="F690" s="98"/>
      <c r="K690" s="6"/>
      <c r="L690" s="6"/>
    </row>
    <row r="691" spans="1:12" ht="13">
      <c r="A691" s="97"/>
      <c r="B691" s="97"/>
      <c r="F691" s="98"/>
      <c r="K691" s="6"/>
      <c r="L691" s="6"/>
    </row>
    <row r="692" spans="1:12" ht="13">
      <c r="A692" s="97"/>
      <c r="B692" s="97"/>
      <c r="F692" s="98"/>
      <c r="K692" s="6"/>
      <c r="L692" s="6"/>
    </row>
    <row r="693" spans="1:12" ht="13">
      <c r="A693" s="97"/>
      <c r="B693" s="97"/>
      <c r="F693" s="98"/>
      <c r="K693" s="6"/>
      <c r="L693" s="6"/>
    </row>
    <row r="694" spans="1:12" ht="13">
      <c r="A694" s="97"/>
      <c r="B694" s="97"/>
      <c r="F694" s="98"/>
      <c r="K694" s="6"/>
      <c r="L694" s="6"/>
    </row>
    <row r="695" spans="1:12" ht="13">
      <c r="A695" s="97"/>
      <c r="B695" s="97"/>
      <c r="F695" s="98"/>
      <c r="K695" s="6"/>
      <c r="L695" s="6"/>
    </row>
    <row r="696" spans="1:12" ht="13">
      <c r="A696" s="97"/>
      <c r="B696" s="97"/>
      <c r="F696" s="98"/>
      <c r="K696" s="6"/>
      <c r="L696" s="6"/>
    </row>
    <row r="697" spans="1:12" ht="13">
      <c r="A697" s="97"/>
      <c r="B697" s="97"/>
      <c r="F697" s="98"/>
      <c r="K697" s="6"/>
      <c r="L697" s="6"/>
    </row>
    <row r="698" spans="1:12" ht="13">
      <c r="A698" s="97"/>
      <c r="B698" s="97"/>
      <c r="F698" s="98"/>
      <c r="K698" s="6"/>
      <c r="L698" s="6"/>
    </row>
    <row r="699" spans="1:12" ht="13">
      <c r="A699" s="97"/>
      <c r="B699" s="97"/>
      <c r="F699" s="98"/>
      <c r="K699" s="6"/>
      <c r="L699" s="6"/>
    </row>
    <row r="700" spans="1:12" ht="13">
      <c r="A700" s="97"/>
      <c r="B700" s="97"/>
      <c r="F700" s="98"/>
      <c r="K700" s="6"/>
      <c r="L700" s="6"/>
    </row>
    <row r="701" spans="1:12" ht="13">
      <c r="A701" s="97"/>
      <c r="B701" s="97"/>
      <c r="F701" s="98"/>
      <c r="K701" s="6"/>
      <c r="L701" s="6"/>
    </row>
    <row r="702" spans="1:12" ht="13">
      <c r="A702" s="97"/>
      <c r="B702" s="97"/>
      <c r="F702" s="98"/>
      <c r="K702" s="6"/>
      <c r="L702" s="6"/>
    </row>
    <row r="703" spans="1:12" ht="13">
      <c r="A703" s="97"/>
      <c r="B703" s="97"/>
      <c r="F703" s="98"/>
      <c r="K703" s="6"/>
      <c r="L703" s="6"/>
    </row>
    <row r="704" spans="1:12" ht="13">
      <c r="A704" s="97"/>
      <c r="B704" s="97"/>
      <c r="F704" s="98"/>
      <c r="K704" s="6"/>
      <c r="L704" s="6"/>
    </row>
    <row r="705" spans="1:12" ht="13">
      <c r="A705" s="97"/>
      <c r="B705" s="97"/>
      <c r="F705" s="98"/>
      <c r="K705" s="6"/>
      <c r="L705" s="6"/>
    </row>
    <row r="706" spans="1:12" ht="13">
      <c r="A706" s="97"/>
      <c r="B706" s="97"/>
      <c r="F706" s="98"/>
      <c r="K706" s="6"/>
      <c r="L706" s="6"/>
    </row>
    <row r="707" spans="1:12" ht="13">
      <c r="A707" s="97"/>
      <c r="B707" s="97"/>
      <c r="F707" s="98"/>
      <c r="K707" s="6"/>
      <c r="L707" s="6"/>
    </row>
    <row r="708" spans="1:12" ht="13">
      <c r="A708" s="97"/>
      <c r="B708" s="97"/>
      <c r="F708" s="98"/>
      <c r="K708" s="6"/>
      <c r="L708" s="6"/>
    </row>
    <row r="709" spans="1:12" ht="13">
      <c r="A709" s="97"/>
      <c r="B709" s="97"/>
      <c r="F709" s="98"/>
      <c r="K709" s="6"/>
      <c r="L709" s="6"/>
    </row>
    <row r="710" spans="1:12" ht="13">
      <c r="A710" s="97"/>
      <c r="B710" s="97"/>
      <c r="F710" s="98"/>
      <c r="K710" s="6"/>
      <c r="L710" s="6"/>
    </row>
    <row r="711" spans="1:12" ht="13">
      <c r="A711" s="97"/>
      <c r="B711" s="97"/>
      <c r="F711" s="98"/>
      <c r="K711" s="6"/>
      <c r="L711" s="6"/>
    </row>
    <row r="712" spans="1:12" ht="13">
      <c r="A712" s="97"/>
      <c r="B712" s="97"/>
      <c r="F712" s="98"/>
      <c r="K712" s="6"/>
      <c r="L712" s="6"/>
    </row>
    <row r="713" spans="1:12" ht="13">
      <c r="A713" s="97"/>
      <c r="B713" s="97"/>
      <c r="F713" s="98"/>
      <c r="K713" s="6"/>
      <c r="L713" s="6"/>
    </row>
    <row r="714" spans="1:12" ht="13">
      <c r="A714" s="97"/>
      <c r="B714" s="97"/>
      <c r="F714" s="98"/>
      <c r="K714" s="6"/>
      <c r="L714" s="6"/>
    </row>
    <row r="715" spans="1:12" ht="13">
      <c r="A715" s="97"/>
      <c r="B715" s="97"/>
      <c r="F715" s="98"/>
      <c r="K715" s="6"/>
      <c r="L715" s="6"/>
    </row>
    <row r="716" spans="1:12" ht="13">
      <c r="A716" s="97"/>
      <c r="B716" s="97"/>
      <c r="F716" s="98"/>
      <c r="K716" s="6"/>
      <c r="L716" s="6"/>
    </row>
    <row r="717" spans="1:12" ht="13">
      <c r="A717" s="97"/>
      <c r="B717" s="97"/>
      <c r="F717" s="98"/>
      <c r="K717" s="6"/>
      <c r="L717" s="6"/>
    </row>
    <row r="718" spans="1:12" ht="13">
      <c r="A718" s="97"/>
      <c r="B718" s="97"/>
      <c r="F718" s="98"/>
      <c r="K718" s="6"/>
      <c r="L718" s="6"/>
    </row>
    <row r="719" spans="1:12" ht="13">
      <c r="A719" s="97"/>
      <c r="B719" s="97"/>
      <c r="F719" s="98"/>
      <c r="K719" s="6"/>
      <c r="L719" s="6"/>
    </row>
    <row r="720" spans="1:12" ht="13">
      <c r="A720" s="97"/>
      <c r="B720" s="97"/>
      <c r="F720" s="98"/>
      <c r="K720" s="6"/>
      <c r="L720" s="6"/>
    </row>
    <row r="721" spans="1:12" ht="13">
      <c r="A721" s="97"/>
      <c r="B721" s="97"/>
      <c r="F721" s="98"/>
      <c r="K721" s="6"/>
      <c r="L721" s="6"/>
    </row>
    <row r="722" spans="1:12" ht="13">
      <c r="A722" s="97"/>
      <c r="B722" s="97"/>
      <c r="F722" s="98"/>
      <c r="K722" s="6"/>
      <c r="L722" s="6"/>
    </row>
    <row r="723" spans="1:12" ht="13">
      <c r="A723" s="97"/>
      <c r="B723" s="97"/>
      <c r="F723" s="98"/>
      <c r="K723" s="6"/>
      <c r="L723" s="6"/>
    </row>
    <row r="724" spans="1:12" ht="13">
      <c r="A724" s="97"/>
      <c r="B724" s="97"/>
      <c r="F724" s="98"/>
      <c r="K724" s="6"/>
      <c r="L724" s="6"/>
    </row>
    <row r="725" spans="1:12" ht="13">
      <c r="A725" s="97"/>
      <c r="B725" s="97"/>
      <c r="F725" s="98"/>
      <c r="K725" s="6"/>
      <c r="L725" s="6"/>
    </row>
    <row r="726" spans="1:12" ht="13">
      <c r="A726" s="97"/>
      <c r="B726" s="97"/>
      <c r="F726" s="98"/>
      <c r="K726" s="6"/>
      <c r="L726" s="6"/>
    </row>
    <row r="727" spans="1:12" ht="13">
      <c r="A727" s="97"/>
      <c r="B727" s="97"/>
      <c r="F727" s="98"/>
      <c r="K727" s="6"/>
      <c r="L727" s="6"/>
    </row>
    <row r="728" spans="1:12" ht="13">
      <c r="A728" s="97"/>
      <c r="B728" s="97"/>
      <c r="F728" s="98"/>
      <c r="K728" s="6"/>
      <c r="L728" s="6"/>
    </row>
    <row r="729" spans="1:12" ht="13">
      <c r="A729" s="97"/>
      <c r="B729" s="97"/>
      <c r="F729" s="98"/>
      <c r="K729" s="6"/>
      <c r="L729" s="6"/>
    </row>
    <row r="730" spans="1:12" ht="13">
      <c r="A730" s="97"/>
      <c r="B730" s="97"/>
      <c r="F730" s="98"/>
      <c r="K730" s="6"/>
      <c r="L730" s="6"/>
    </row>
    <row r="731" spans="1:12" ht="13">
      <c r="A731" s="97"/>
      <c r="B731" s="97"/>
      <c r="F731" s="98"/>
      <c r="K731" s="6"/>
      <c r="L731" s="6"/>
    </row>
    <row r="732" spans="1:12" ht="13">
      <c r="A732" s="97"/>
      <c r="B732" s="97"/>
      <c r="F732" s="98"/>
      <c r="K732" s="6"/>
      <c r="L732" s="6"/>
    </row>
    <row r="733" spans="1:12" ht="13">
      <c r="A733" s="97"/>
      <c r="B733" s="97"/>
      <c r="F733" s="98"/>
      <c r="K733" s="6"/>
      <c r="L733" s="6"/>
    </row>
    <row r="734" spans="1:12" ht="13">
      <c r="A734" s="97"/>
      <c r="B734" s="97"/>
      <c r="F734" s="98"/>
      <c r="K734" s="6"/>
      <c r="L734" s="6"/>
    </row>
    <row r="735" spans="1:12" ht="13">
      <c r="A735" s="97"/>
      <c r="B735" s="97"/>
      <c r="F735" s="98"/>
      <c r="K735" s="6"/>
      <c r="L735" s="6"/>
    </row>
    <row r="736" spans="1:12" ht="13">
      <c r="A736" s="97"/>
      <c r="B736" s="97"/>
      <c r="F736" s="98"/>
      <c r="K736" s="6"/>
      <c r="L736" s="6"/>
    </row>
    <row r="737" spans="1:12" ht="13">
      <c r="A737" s="97"/>
      <c r="B737" s="97"/>
      <c r="F737" s="98"/>
      <c r="K737" s="6"/>
      <c r="L737" s="6"/>
    </row>
    <row r="738" spans="1:12" ht="13">
      <c r="A738" s="97"/>
      <c r="B738" s="97"/>
      <c r="F738" s="98"/>
      <c r="K738" s="6"/>
      <c r="L738" s="6"/>
    </row>
    <row r="739" spans="1:12" ht="13">
      <c r="A739" s="97"/>
      <c r="B739" s="97"/>
      <c r="F739" s="98"/>
      <c r="K739" s="6"/>
      <c r="L739" s="6"/>
    </row>
    <row r="740" spans="1:12" ht="13">
      <c r="A740" s="97"/>
      <c r="B740" s="97"/>
      <c r="F740" s="98"/>
      <c r="K740" s="6"/>
      <c r="L740" s="6"/>
    </row>
    <row r="741" spans="1:12" ht="13">
      <c r="A741" s="97"/>
      <c r="B741" s="97"/>
      <c r="F741" s="98"/>
      <c r="K741" s="6"/>
      <c r="L741" s="6"/>
    </row>
    <row r="742" spans="1:12" ht="13">
      <c r="A742" s="97"/>
      <c r="B742" s="97"/>
      <c r="F742" s="98"/>
      <c r="K742" s="6"/>
      <c r="L742" s="6"/>
    </row>
    <row r="743" spans="1:12" ht="13">
      <c r="A743" s="97"/>
      <c r="B743" s="97"/>
      <c r="F743" s="98"/>
      <c r="K743" s="6"/>
      <c r="L743" s="6"/>
    </row>
    <row r="744" spans="1:12" ht="13">
      <c r="A744" s="97"/>
      <c r="B744" s="97"/>
      <c r="F744" s="98"/>
      <c r="K744" s="6"/>
      <c r="L744" s="6"/>
    </row>
    <row r="745" spans="1:12" ht="13">
      <c r="A745" s="97"/>
      <c r="B745" s="97"/>
      <c r="F745" s="98"/>
      <c r="K745" s="6"/>
      <c r="L745" s="6"/>
    </row>
    <row r="746" spans="1:12" ht="13">
      <c r="A746" s="97"/>
      <c r="B746" s="97"/>
      <c r="F746" s="98"/>
      <c r="K746" s="6"/>
      <c r="L746" s="6"/>
    </row>
    <row r="747" spans="1:12" ht="13">
      <c r="A747" s="97"/>
      <c r="B747" s="97"/>
      <c r="F747" s="98"/>
      <c r="K747" s="6"/>
      <c r="L747" s="6"/>
    </row>
    <row r="748" spans="1:12" ht="13">
      <c r="A748" s="97"/>
      <c r="B748" s="97"/>
      <c r="F748" s="98"/>
      <c r="K748" s="6"/>
      <c r="L748" s="6"/>
    </row>
    <row r="749" spans="1:12" ht="13">
      <c r="A749" s="97"/>
      <c r="B749" s="97"/>
      <c r="F749" s="98"/>
      <c r="K749" s="6"/>
      <c r="L749" s="6"/>
    </row>
    <row r="750" spans="1:12" ht="13">
      <c r="A750" s="97"/>
      <c r="B750" s="97"/>
      <c r="F750" s="98"/>
      <c r="K750" s="6"/>
      <c r="L750" s="6"/>
    </row>
    <row r="751" spans="1:12" ht="13">
      <c r="A751" s="97"/>
      <c r="B751" s="97"/>
      <c r="F751" s="98"/>
      <c r="K751" s="6"/>
      <c r="L751" s="6"/>
    </row>
    <row r="752" spans="1:12" ht="13">
      <c r="A752" s="97"/>
      <c r="B752" s="97"/>
      <c r="F752" s="98"/>
      <c r="K752" s="6"/>
      <c r="L752" s="6"/>
    </row>
    <row r="753" spans="1:12" ht="13">
      <c r="A753" s="97"/>
      <c r="B753" s="97"/>
      <c r="F753" s="98"/>
      <c r="K753" s="6"/>
      <c r="L753" s="6"/>
    </row>
    <row r="754" spans="1:12" ht="13">
      <c r="A754" s="97"/>
      <c r="B754" s="97"/>
      <c r="F754" s="98"/>
      <c r="K754" s="6"/>
      <c r="L754" s="6"/>
    </row>
    <row r="755" spans="1:12" ht="13">
      <c r="A755" s="97"/>
      <c r="B755" s="97"/>
      <c r="F755" s="98"/>
      <c r="K755" s="6"/>
      <c r="L755" s="6"/>
    </row>
    <row r="756" spans="1:12" ht="13">
      <c r="A756" s="97"/>
      <c r="B756" s="97"/>
      <c r="F756" s="98"/>
      <c r="K756" s="6"/>
      <c r="L756" s="6"/>
    </row>
    <row r="757" spans="1:12" ht="13">
      <c r="A757" s="97"/>
      <c r="B757" s="97"/>
      <c r="F757" s="98"/>
      <c r="K757" s="6"/>
      <c r="L757" s="6"/>
    </row>
    <row r="758" spans="1:12" ht="13">
      <c r="A758" s="97"/>
      <c r="B758" s="97"/>
      <c r="F758" s="98"/>
      <c r="K758" s="6"/>
      <c r="L758" s="6"/>
    </row>
    <row r="759" spans="1:12" ht="13">
      <c r="A759" s="97"/>
      <c r="B759" s="97"/>
      <c r="F759" s="98"/>
      <c r="K759" s="6"/>
      <c r="L759" s="6"/>
    </row>
    <row r="760" spans="1:12" ht="13">
      <c r="A760" s="97"/>
      <c r="B760" s="97"/>
      <c r="F760" s="98"/>
      <c r="K760" s="6"/>
      <c r="L760" s="6"/>
    </row>
    <row r="761" spans="1:12" ht="13">
      <c r="A761" s="97"/>
      <c r="B761" s="97"/>
      <c r="F761" s="98"/>
      <c r="K761" s="6"/>
      <c r="L761" s="6"/>
    </row>
    <row r="762" spans="1:12" ht="13">
      <c r="A762" s="97"/>
      <c r="B762" s="97"/>
      <c r="F762" s="98"/>
      <c r="K762" s="6"/>
      <c r="L762" s="6"/>
    </row>
    <row r="763" spans="1:12" ht="13">
      <c r="A763" s="97"/>
      <c r="B763" s="97"/>
      <c r="F763" s="98"/>
      <c r="K763" s="6"/>
      <c r="L763" s="6"/>
    </row>
    <row r="764" spans="1:12" ht="13">
      <c r="A764" s="97"/>
      <c r="B764" s="97"/>
      <c r="F764" s="98"/>
      <c r="K764" s="6"/>
      <c r="L764" s="6"/>
    </row>
    <row r="765" spans="1:12" ht="13">
      <c r="A765" s="97"/>
      <c r="B765" s="97"/>
      <c r="F765" s="98"/>
      <c r="K765" s="6"/>
      <c r="L765" s="6"/>
    </row>
    <row r="766" spans="1:12" ht="13">
      <c r="A766" s="97"/>
      <c r="B766" s="97"/>
      <c r="F766" s="98"/>
      <c r="K766" s="6"/>
      <c r="L766" s="6"/>
    </row>
    <row r="767" spans="1:12" ht="13">
      <c r="A767" s="97"/>
      <c r="B767" s="97"/>
      <c r="F767" s="98"/>
      <c r="K767" s="6"/>
      <c r="L767" s="6"/>
    </row>
    <row r="768" spans="1:12" ht="13">
      <c r="A768" s="97"/>
      <c r="B768" s="97"/>
      <c r="F768" s="98"/>
      <c r="K768" s="6"/>
      <c r="L768" s="6"/>
    </row>
    <row r="769" spans="1:12" ht="13">
      <c r="A769" s="97"/>
      <c r="B769" s="97"/>
      <c r="F769" s="98"/>
      <c r="K769" s="6"/>
      <c r="L769" s="6"/>
    </row>
    <row r="770" spans="1:12" ht="13">
      <c r="A770" s="97"/>
      <c r="B770" s="97"/>
      <c r="F770" s="98"/>
      <c r="K770" s="6"/>
      <c r="L770" s="6"/>
    </row>
    <row r="771" spans="1:12" ht="13">
      <c r="A771" s="97"/>
      <c r="B771" s="97"/>
      <c r="F771" s="98"/>
      <c r="K771" s="6"/>
      <c r="L771" s="6"/>
    </row>
    <row r="772" spans="1:12" ht="13">
      <c r="A772" s="97"/>
      <c r="B772" s="97"/>
      <c r="F772" s="98"/>
      <c r="K772" s="6"/>
      <c r="L772" s="6"/>
    </row>
    <row r="773" spans="1:12" ht="13">
      <c r="A773" s="97"/>
      <c r="B773" s="97"/>
      <c r="F773" s="98"/>
      <c r="K773" s="6"/>
      <c r="L773" s="6"/>
    </row>
    <row r="774" spans="1:12" ht="13">
      <c r="A774" s="97"/>
      <c r="B774" s="97"/>
      <c r="F774" s="98"/>
      <c r="K774" s="6"/>
      <c r="L774" s="6"/>
    </row>
    <row r="775" spans="1:12" ht="13">
      <c r="A775" s="97"/>
      <c r="B775" s="97"/>
      <c r="F775" s="98"/>
      <c r="K775" s="6"/>
      <c r="L775" s="6"/>
    </row>
    <row r="776" spans="1:12" ht="13">
      <c r="A776" s="97"/>
      <c r="B776" s="97"/>
      <c r="F776" s="98"/>
      <c r="K776" s="6"/>
      <c r="L776" s="6"/>
    </row>
    <row r="777" spans="1:12" ht="13">
      <c r="A777" s="97"/>
      <c r="B777" s="97"/>
      <c r="F777" s="98"/>
      <c r="K777" s="6"/>
      <c r="L777" s="6"/>
    </row>
    <row r="778" spans="1:12" ht="13">
      <c r="A778" s="97"/>
      <c r="B778" s="97"/>
      <c r="F778" s="98"/>
      <c r="K778" s="6"/>
      <c r="L778" s="6"/>
    </row>
    <row r="779" spans="1:12" ht="13">
      <c r="A779" s="97"/>
      <c r="B779" s="97"/>
      <c r="F779" s="98"/>
      <c r="K779" s="6"/>
      <c r="L779" s="6"/>
    </row>
    <row r="780" spans="1:12" ht="13">
      <c r="A780" s="97"/>
      <c r="B780" s="97"/>
      <c r="F780" s="98"/>
      <c r="K780" s="6"/>
      <c r="L780" s="6"/>
    </row>
    <row r="781" spans="1:12" ht="13">
      <c r="A781" s="97"/>
      <c r="B781" s="97"/>
      <c r="F781" s="98"/>
      <c r="K781" s="6"/>
      <c r="L781" s="6"/>
    </row>
    <row r="782" spans="1:12" ht="13">
      <c r="A782" s="97"/>
      <c r="B782" s="97"/>
      <c r="F782" s="98"/>
      <c r="K782" s="6"/>
      <c r="L782" s="6"/>
    </row>
    <row r="783" spans="1:12" ht="13">
      <c r="A783" s="97"/>
      <c r="B783" s="97"/>
      <c r="F783" s="98"/>
      <c r="K783" s="6"/>
      <c r="L783" s="6"/>
    </row>
    <row r="784" spans="1:12" ht="13">
      <c r="A784" s="97"/>
      <c r="B784" s="97"/>
      <c r="F784" s="98"/>
      <c r="K784" s="6"/>
      <c r="L784" s="6"/>
    </row>
    <row r="785" spans="1:12" ht="13">
      <c r="A785" s="97"/>
      <c r="B785" s="97"/>
      <c r="F785" s="98"/>
      <c r="K785" s="6"/>
      <c r="L785" s="6"/>
    </row>
    <row r="786" spans="1:12" ht="13">
      <c r="A786" s="97"/>
      <c r="B786" s="97"/>
      <c r="F786" s="98"/>
      <c r="K786" s="6"/>
      <c r="L786" s="6"/>
    </row>
    <row r="787" spans="1:12" ht="13">
      <c r="A787" s="97"/>
      <c r="B787" s="97"/>
      <c r="F787" s="98"/>
      <c r="K787" s="6"/>
      <c r="L787" s="6"/>
    </row>
    <row r="788" spans="1:12" ht="13">
      <c r="A788" s="97"/>
      <c r="B788" s="97"/>
      <c r="F788" s="98"/>
      <c r="K788" s="6"/>
      <c r="L788" s="6"/>
    </row>
    <row r="789" spans="1:12" ht="13">
      <c r="A789" s="97"/>
      <c r="B789" s="97"/>
      <c r="F789" s="98"/>
      <c r="K789" s="6"/>
      <c r="L789" s="6"/>
    </row>
    <row r="790" spans="1:12" ht="13">
      <c r="A790" s="97"/>
      <c r="B790" s="97"/>
      <c r="F790" s="98"/>
      <c r="K790" s="6"/>
      <c r="L790" s="6"/>
    </row>
    <row r="791" spans="1:12" ht="13">
      <c r="A791" s="97"/>
      <c r="B791" s="97"/>
      <c r="F791" s="98"/>
      <c r="K791" s="6"/>
      <c r="L791" s="6"/>
    </row>
    <row r="792" spans="1:12" ht="13">
      <c r="A792" s="97"/>
      <c r="B792" s="97"/>
      <c r="F792" s="98"/>
      <c r="K792" s="6"/>
      <c r="L792" s="6"/>
    </row>
    <row r="793" spans="1:12" ht="13">
      <c r="A793" s="97"/>
      <c r="B793" s="97"/>
      <c r="F793" s="98"/>
      <c r="K793" s="6"/>
      <c r="L793" s="6"/>
    </row>
    <row r="794" spans="1:12" ht="13">
      <c r="A794" s="97"/>
      <c r="B794" s="97"/>
      <c r="F794" s="98"/>
      <c r="K794" s="6"/>
      <c r="L794" s="6"/>
    </row>
    <row r="795" spans="1:12" ht="13">
      <c r="A795" s="97"/>
      <c r="B795" s="97"/>
      <c r="F795" s="98"/>
      <c r="K795" s="6"/>
      <c r="L795" s="6"/>
    </row>
    <row r="796" spans="1:12" ht="13">
      <c r="A796" s="97"/>
      <c r="B796" s="97"/>
      <c r="F796" s="98"/>
      <c r="K796" s="6"/>
      <c r="L796" s="6"/>
    </row>
    <row r="797" spans="1:12" ht="13">
      <c r="A797" s="97"/>
      <c r="B797" s="97"/>
      <c r="F797" s="98"/>
      <c r="K797" s="6"/>
      <c r="L797" s="6"/>
    </row>
    <row r="798" spans="1:12" ht="13">
      <c r="A798" s="97"/>
      <c r="B798" s="97"/>
      <c r="F798" s="98"/>
      <c r="K798" s="6"/>
      <c r="L798" s="6"/>
    </row>
    <row r="799" spans="1:12" ht="13">
      <c r="A799" s="97"/>
      <c r="B799" s="97"/>
      <c r="F799" s="98"/>
      <c r="K799" s="6"/>
      <c r="L799" s="6"/>
    </row>
    <row r="800" spans="1:12" ht="13">
      <c r="A800" s="97"/>
      <c r="B800" s="97"/>
      <c r="F800" s="98"/>
      <c r="K800" s="6"/>
      <c r="L800" s="6"/>
    </row>
    <row r="801" spans="1:12" ht="13">
      <c r="A801" s="97"/>
      <c r="B801" s="97"/>
      <c r="F801" s="98"/>
      <c r="K801" s="6"/>
      <c r="L801" s="6"/>
    </row>
    <row r="802" spans="1:12" ht="13">
      <c r="A802" s="97"/>
      <c r="B802" s="97"/>
      <c r="F802" s="98"/>
      <c r="K802" s="6"/>
      <c r="L802" s="6"/>
    </row>
    <row r="803" spans="1:12" ht="13">
      <c r="A803" s="97"/>
      <c r="B803" s="97"/>
      <c r="F803" s="98"/>
      <c r="K803" s="6"/>
      <c r="L803" s="6"/>
    </row>
    <row r="804" spans="1:12" ht="13">
      <c r="A804" s="97"/>
      <c r="B804" s="97"/>
      <c r="F804" s="98"/>
      <c r="K804" s="6"/>
      <c r="L804" s="6"/>
    </row>
    <row r="805" spans="1:12" ht="13">
      <c r="A805" s="97"/>
      <c r="B805" s="97"/>
      <c r="F805" s="98"/>
      <c r="K805" s="6"/>
      <c r="L805" s="6"/>
    </row>
    <row r="806" spans="1:12" ht="13">
      <c r="A806" s="97"/>
      <c r="B806" s="97"/>
      <c r="F806" s="98"/>
      <c r="K806" s="6"/>
      <c r="L806" s="6"/>
    </row>
    <row r="807" spans="1:12" ht="13">
      <c r="A807" s="97"/>
      <c r="B807" s="97"/>
      <c r="F807" s="98"/>
      <c r="K807" s="6"/>
      <c r="L807" s="6"/>
    </row>
    <row r="808" spans="1:12" ht="13">
      <c r="A808" s="97"/>
      <c r="B808" s="97"/>
      <c r="F808" s="98"/>
      <c r="K808" s="6"/>
      <c r="L808" s="6"/>
    </row>
    <row r="809" spans="1:12" ht="13">
      <c r="A809" s="97"/>
      <c r="B809" s="97"/>
      <c r="F809" s="98"/>
      <c r="K809" s="6"/>
      <c r="L809" s="6"/>
    </row>
    <row r="810" spans="1:12" ht="13">
      <c r="A810" s="97"/>
      <c r="B810" s="97"/>
      <c r="F810" s="98"/>
      <c r="K810" s="6"/>
      <c r="L810" s="6"/>
    </row>
    <row r="811" spans="1:12" ht="13">
      <c r="A811" s="97"/>
      <c r="B811" s="97"/>
      <c r="F811" s="98"/>
      <c r="K811" s="6"/>
      <c r="L811" s="6"/>
    </row>
    <row r="812" spans="1:12" ht="13">
      <c r="A812" s="97"/>
      <c r="B812" s="97"/>
      <c r="F812" s="98"/>
      <c r="K812" s="6"/>
      <c r="L812" s="6"/>
    </row>
    <row r="813" spans="1:12" ht="13">
      <c r="A813" s="97"/>
      <c r="B813" s="97"/>
      <c r="F813" s="98"/>
      <c r="K813" s="6"/>
      <c r="L813" s="6"/>
    </row>
    <row r="814" spans="1:12" ht="13">
      <c r="A814" s="97"/>
      <c r="B814" s="97"/>
      <c r="F814" s="98"/>
      <c r="K814" s="6"/>
      <c r="L814" s="6"/>
    </row>
    <row r="815" spans="1:12" ht="13">
      <c r="A815" s="97"/>
      <c r="B815" s="97"/>
      <c r="F815" s="98"/>
      <c r="K815" s="6"/>
      <c r="L815" s="6"/>
    </row>
    <row r="816" spans="1:12" ht="13">
      <c r="A816" s="97"/>
      <c r="B816" s="97"/>
      <c r="F816" s="98"/>
      <c r="K816" s="6"/>
      <c r="L816" s="6"/>
    </row>
    <row r="817" spans="1:12" ht="13">
      <c r="A817" s="97"/>
      <c r="B817" s="97"/>
      <c r="F817" s="98"/>
      <c r="K817" s="6"/>
      <c r="L817" s="6"/>
    </row>
    <row r="818" spans="1:12" ht="13">
      <c r="A818" s="97"/>
      <c r="B818" s="97"/>
      <c r="F818" s="98"/>
      <c r="K818" s="6"/>
      <c r="L818" s="6"/>
    </row>
    <row r="819" spans="1:12" ht="13">
      <c r="A819" s="97"/>
      <c r="B819" s="97"/>
      <c r="F819" s="98"/>
      <c r="K819" s="6"/>
      <c r="L819" s="6"/>
    </row>
    <row r="820" spans="1:12" ht="13">
      <c r="A820" s="97"/>
      <c r="B820" s="97"/>
      <c r="F820" s="98"/>
      <c r="K820" s="6"/>
      <c r="L820" s="6"/>
    </row>
    <row r="821" spans="1:12" ht="13">
      <c r="A821" s="97"/>
      <c r="B821" s="97"/>
      <c r="F821" s="98"/>
      <c r="K821" s="6"/>
      <c r="L821" s="6"/>
    </row>
    <row r="822" spans="1:12" ht="13">
      <c r="A822" s="97"/>
      <c r="B822" s="97"/>
      <c r="F822" s="98"/>
      <c r="K822" s="6"/>
      <c r="L822" s="6"/>
    </row>
    <row r="823" spans="1:12" ht="13">
      <c r="A823" s="97"/>
      <c r="B823" s="97"/>
      <c r="F823" s="98"/>
      <c r="K823" s="6"/>
      <c r="L823" s="6"/>
    </row>
    <row r="824" spans="1:12" ht="13">
      <c r="A824" s="97"/>
      <c r="B824" s="97"/>
      <c r="F824" s="98"/>
      <c r="K824" s="6"/>
      <c r="L824" s="6"/>
    </row>
    <row r="825" spans="1:12" ht="13">
      <c r="A825" s="97"/>
      <c r="B825" s="97"/>
      <c r="F825" s="98"/>
      <c r="K825" s="6"/>
      <c r="L825" s="6"/>
    </row>
    <row r="826" spans="1:12" ht="13">
      <c r="A826" s="97"/>
      <c r="B826" s="97"/>
      <c r="F826" s="98"/>
      <c r="K826" s="6"/>
      <c r="L826" s="6"/>
    </row>
    <row r="827" spans="1:12" ht="13">
      <c r="A827" s="97"/>
      <c r="B827" s="97"/>
      <c r="F827" s="98"/>
      <c r="K827" s="6"/>
      <c r="L827" s="6"/>
    </row>
    <row r="828" spans="1:12" ht="13">
      <c r="A828" s="97"/>
      <c r="B828" s="97"/>
      <c r="F828" s="98"/>
      <c r="K828" s="6"/>
      <c r="L828" s="6"/>
    </row>
    <row r="829" spans="1:12" ht="13">
      <c r="A829" s="97"/>
      <c r="B829" s="97"/>
      <c r="F829" s="98"/>
      <c r="K829" s="6"/>
      <c r="L829" s="6"/>
    </row>
    <row r="830" spans="1:12" ht="13">
      <c r="A830" s="97"/>
      <c r="B830" s="97"/>
      <c r="F830" s="98"/>
      <c r="K830" s="6"/>
      <c r="L830" s="6"/>
    </row>
    <row r="831" spans="1:12" ht="13">
      <c r="A831" s="97"/>
      <c r="B831" s="97"/>
      <c r="F831" s="98"/>
      <c r="K831" s="6"/>
      <c r="L831" s="6"/>
    </row>
    <row r="832" spans="1:12" ht="13">
      <c r="A832" s="97"/>
      <c r="B832" s="97"/>
      <c r="F832" s="98"/>
      <c r="K832" s="6"/>
      <c r="L832" s="6"/>
    </row>
    <row r="833" spans="1:12" ht="13">
      <c r="A833" s="97"/>
      <c r="B833" s="97"/>
      <c r="F833" s="98"/>
      <c r="K833" s="6"/>
      <c r="L833" s="6"/>
    </row>
    <row r="834" spans="1:12" ht="13">
      <c r="A834" s="97"/>
      <c r="B834" s="97"/>
      <c r="F834" s="98"/>
      <c r="K834" s="6"/>
      <c r="L834" s="6"/>
    </row>
    <row r="835" spans="1:12" ht="13">
      <c r="A835" s="97"/>
      <c r="B835" s="97"/>
      <c r="F835" s="98"/>
      <c r="K835" s="6"/>
      <c r="L835" s="6"/>
    </row>
    <row r="836" spans="1:12" ht="13">
      <c r="A836" s="97"/>
      <c r="B836" s="97"/>
      <c r="F836" s="98"/>
      <c r="K836" s="6"/>
      <c r="L836" s="6"/>
    </row>
    <row r="837" spans="1:12" ht="13">
      <c r="A837" s="97"/>
      <c r="B837" s="97"/>
      <c r="F837" s="98"/>
      <c r="K837" s="6"/>
      <c r="L837" s="6"/>
    </row>
    <row r="838" spans="1:12" ht="13">
      <c r="A838" s="97"/>
      <c r="B838" s="97"/>
      <c r="F838" s="98"/>
      <c r="K838" s="6"/>
      <c r="L838" s="6"/>
    </row>
    <row r="839" spans="1:12" ht="13">
      <c r="A839" s="97"/>
      <c r="B839" s="97"/>
      <c r="F839" s="98"/>
      <c r="K839" s="6"/>
      <c r="L839" s="6"/>
    </row>
    <row r="840" spans="1:12" ht="13">
      <c r="A840" s="97"/>
      <c r="B840" s="97"/>
      <c r="F840" s="98"/>
      <c r="K840" s="6"/>
      <c r="L840" s="6"/>
    </row>
    <row r="841" spans="1:12" ht="13">
      <c r="A841" s="97"/>
      <c r="B841" s="97"/>
      <c r="F841" s="98"/>
      <c r="K841" s="6"/>
      <c r="L841" s="6"/>
    </row>
    <row r="842" spans="1:12" ht="13">
      <c r="A842" s="97"/>
      <c r="B842" s="97"/>
      <c r="F842" s="98"/>
      <c r="K842" s="6"/>
      <c r="L842" s="6"/>
    </row>
    <row r="843" spans="1:12" ht="13">
      <c r="A843" s="97"/>
      <c r="B843" s="97"/>
      <c r="F843" s="98"/>
      <c r="K843" s="6"/>
      <c r="L843" s="6"/>
    </row>
    <row r="844" spans="1:12" ht="13">
      <c r="A844" s="97"/>
      <c r="B844" s="97"/>
      <c r="F844" s="98"/>
      <c r="K844" s="6"/>
      <c r="L844" s="6"/>
    </row>
    <row r="845" spans="1:12" ht="13">
      <c r="A845" s="97"/>
      <c r="B845" s="97"/>
      <c r="F845" s="98"/>
      <c r="K845" s="6"/>
      <c r="L845" s="6"/>
    </row>
    <row r="846" spans="1:12" ht="13">
      <c r="A846" s="97"/>
      <c r="B846" s="97"/>
      <c r="F846" s="98"/>
      <c r="K846" s="6"/>
      <c r="L846" s="6"/>
    </row>
    <row r="847" spans="1:12" ht="13">
      <c r="A847" s="97"/>
      <c r="B847" s="97"/>
      <c r="F847" s="98"/>
      <c r="K847" s="6"/>
      <c r="L847" s="6"/>
    </row>
    <row r="848" spans="1:12" ht="13">
      <c r="A848" s="97"/>
      <c r="B848" s="97"/>
      <c r="F848" s="98"/>
      <c r="K848" s="6"/>
      <c r="L848" s="6"/>
    </row>
    <row r="849" spans="1:12" ht="13">
      <c r="A849" s="97"/>
      <c r="B849" s="97"/>
      <c r="F849" s="98"/>
      <c r="K849" s="6"/>
      <c r="L849" s="6"/>
    </row>
    <row r="850" spans="1:12" ht="13">
      <c r="A850" s="97"/>
      <c r="B850" s="97"/>
      <c r="F850" s="98"/>
      <c r="K850" s="6"/>
      <c r="L850" s="6"/>
    </row>
    <row r="851" spans="1:12" ht="13">
      <c r="A851" s="97"/>
      <c r="B851" s="97"/>
      <c r="F851" s="98"/>
      <c r="K851" s="6"/>
      <c r="L851" s="6"/>
    </row>
    <row r="852" spans="1:12" ht="13">
      <c r="A852" s="97"/>
      <c r="B852" s="97"/>
      <c r="F852" s="98"/>
      <c r="K852" s="6"/>
      <c r="L852" s="6"/>
    </row>
    <row r="853" spans="1:12" ht="13">
      <c r="A853" s="97"/>
      <c r="B853" s="97"/>
      <c r="F853" s="98"/>
      <c r="K853" s="6"/>
      <c r="L853" s="6"/>
    </row>
    <row r="854" spans="1:12" ht="13">
      <c r="A854" s="97"/>
      <c r="B854" s="97"/>
      <c r="F854" s="98"/>
      <c r="K854" s="6"/>
      <c r="L854" s="6"/>
    </row>
    <row r="855" spans="1:12" ht="13">
      <c r="A855" s="97"/>
      <c r="B855" s="97"/>
      <c r="F855" s="98"/>
      <c r="K855" s="6"/>
      <c r="L855" s="6"/>
    </row>
    <row r="856" spans="1:12" ht="13">
      <c r="A856" s="97"/>
      <c r="B856" s="97"/>
      <c r="F856" s="98"/>
      <c r="K856" s="6"/>
      <c r="L856" s="6"/>
    </row>
    <row r="857" spans="1:12" ht="13">
      <c r="A857" s="97"/>
      <c r="B857" s="97"/>
      <c r="F857" s="98"/>
      <c r="K857" s="6"/>
      <c r="L857" s="6"/>
    </row>
    <row r="858" spans="1:12" ht="13">
      <c r="A858" s="97"/>
      <c r="B858" s="97"/>
      <c r="F858" s="98"/>
      <c r="K858" s="6"/>
      <c r="L858" s="6"/>
    </row>
    <row r="859" spans="1:12" ht="13">
      <c r="A859" s="97"/>
      <c r="B859" s="97"/>
      <c r="F859" s="98"/>
      <c r="K859" s="6"/>
      <c r="L859" s="6"/>
    </row>
    <row r="860" spans="1:12" ht="13">
      <c r="A860" s="97"/>
      <c r="B860" s="97"/>
      <c r="F860" s="98"/>
      <c r="K860" s="6"/>
      <c r="L860" s="6"/>
    </row>
    <row r="861" spans="1:12" ht="13">
      <c r="A861" s="97"/>
      <c r="B861" s="97"/>
      <c r="F861" s="98"/>
      <c r="K861" s="6"/>
      <c r="L861" s="6"/>
    </row>
    <row r="862" spans="1:12" ht="13">
      <c r="A862" s="97"/>
      <c r="B862" s="97"/>
      <c r="F862" s="98"/>
      <c r="K862" s="6"/>
      <c r="L862" s="6"/>
    </row>
    <row r="863" spans="1:12" ht="13">
      <c r="A863" s="97"/>
      <c r="B863" s="97"/>
      <c r="F863" s="98"/>
      <c r="K863" s="6"/>
      <c r="L863" s="6"/>
    </row>
    <row r="864" spans="1:12" ht="13">
      <c r="A864" s="97"/>
      <c r="B864" s="97"/>
      <c r="F864" s="98"/>
      <c r="K864" s="6"/>
      <c r="L864" s="6"/>
    </row>
    <row r="865" spans="1:12" ht="13">
      <c r="A865" s="97"/>
      <c r="B865" s="97"/>
      <c r="F865" s="98"/>
      <c r="K865" s="6"/>
      <c r="L865" s="6"/>
    </row>
    <row r="866" spans="1:12" ht="13">
      <c r="A866" s="97"/>
      <c r="B866" s="97"/>
      <c r="F866" s="98"/>
      <c r="K866" s="6"/>
      <c r="L866" s="6"/>
    </row>
    <row r="867" spans="1:12" ht="13">
      <c r="A867" s="97"/>
      <c r="B867" s="97"/>
      <c r="F867" s="98"/>
      <c r="K867" s="6"/>
      <c r="L867" s="6"/>
    </row>
    <row r="868" spans="1:12" ht="13">
      <c r="A868" s="97"/>
      <c r="B868" s="97"/>
      <c r="F868" s="98"/>
      <c r="K868" s="6"/>
      <c r="L868" s="6"/>
    </row>
    <row r="869" spans="1:12" ht="13">
      <c r="A869" s="97"/>
      <c r="B869" s="97"/>
      <c r="F869" s="98"/>
      <c r="K869" s="6"/>
      <c r="L869" s="6"/>
    </row>
    <row r="870" spans="1:12" ht="13">
      <c r="A870" s="97"/>
      <c r="B870" s="97"/>
      <c r="F870" s="98"/>
      <c r="K870" s="6"/>
      <c r="L870" s="6"/>
    </row>
    <row r="871" spans="1:12" ht="13">
      <c r="A871" s="97"/>
      <c r="B871" s="97"/>
      <c r="F871" s="98"/>
      <c r="K871" s="6"/>
      <c r="L871" s="6"/>
    </row>
    <row r="872" spans="1:12" ht="13">
      <c r="A872" s="97"/>
      <c r="B872" s="97"/>
      <c r="F872" s="98"/>
      <c r="K872" s="6"/>
      <c r="L872" s="6"/>
    </row>
    <row r="873" spans="1:12" ht="13">
      <c r="A873" s="97"/>
      <c r="B873" s="97"/>
      <c r="F873" s="98"/>
      <c r="K873" s="6"/>
      <c r="L873" s="6"/>
    </row>
    <row r="874" spans="1:12" ht="13">
      <c r="A874" s="97"/>
      <c r="B874" s="97"/>
      <c r="F874" s="98"/>
      <c r="K874" s="6"/>
      <c r="L874" s="6"/>
    </row>
    <row r="875" spans="1:12" ht="13">
      <c r="A875" s="97"/>
      <c r="B875" s="97"/>
      <c r="F875" s="98"/>
      <c r="K875" s="6"/>
      <c r="L875" s="6"/>
    </row>
    <row r="876" spans="1:12" ht="13">
      <c r="A876" s="97"/>
      <c r="B876" s="97"/>
      <c r="F876" s="98"/>
      <c r="K876" s="6"/>
      <c r="L876" s="6"/>
    </row>
    <row r="877" spans="1:12" ht="13">
      <c r="A877" s="97"/>
      <c r="B877" s="97"/>
      <c r="F877" s="98"/>
      <c r="K877" s="6"/>
      <c r="L877" s="6"/>
    </row>
    <row r="878" spans="1:12" ht="13">
      <c r="A878" s="97"/>
      <c r="B878" s="97"/>
      <c r="F878" s="98"/>
      <c r="K878" s="6"/>
      <c r="L878" s="6"/>
    </row>
    <row r="879" spans="1:12" ht="13">
      <c r="A879" s="97"/>
      <c r="B879" s="97"/>
      <c r="F879" s="98"/>
      <c r="K879" s="6"/>
      <c r="L879" s="6"/>
    </row>
    <row r="880" spans="1:12" ht="13">
      <c r="A880" s="97"/>
      <c r="B880" s="97"/>
      <c r="F880" s="98"/>
      <c r="K880" s="6"/>
      <c r="L880" s="6"/>
    </row>
    <row r="881" spans="1:12" ht="13">
      <c r="A881" s="97"/>
      <c r="B881" s="97"/>
      <c r="F881" s="98"/>
      <c r="K881" s="6"/>
      <c r="L881" s="6"/>
    </row>
    <row r="882" spans="1:12" ht="13">
      <c r="A882" s="97"/>
      <c r="B882" s="97"/>
      <c r="F882" s="98"/>
      <c r="K882" s="6"/>
      <c r="L882" s="6"/>
    </row>
    <row r="883" spans="1:12" ht="13">
      <c r="A883" s="97"/>
      <c r="B883" s="97"/>
      <c r="F883" s="98"/>
      <c r="K883" s="6"/>
      <c r="L883" s="6"/>
    </row>
    <row r="884" spans="1:12" ht="13">
      <c r="A884" s="97"/>
      <c r="B884" s="97"/>
      <c r="F884" s="98"/>
      <c r="K884" s="6"/>
      <c r="L884" s="6"/>
    </row>
    <row r="885" spans="1:12" ht="13">
      <c r="A885" s="97"/>
      <c r="B885" s="97"/>
      <c r="F885" s="98"/>
      <c r="K885" s="6"/>
      <c r="L885" s="6"/>
    </row>
    <row r="886" spans="1:12" ht="13">
      <c r="A886" s="97"/>
      <c r="B886" s="97"/>
      <c r="F886" s="98"/>
      <c r="K886" s="6"/>
      <c r="L886" s="6"/>
    </row>
    <row r="887" spans="1:12" ht="13">
      <c r="A887" s="97"/>
      <c r="B887" s="97"/>
      <c r="F887" s="98"/>
      <c r="K887" s="6"/>
      <c r="L887" s="6"/>
    </row>
    <row r="888" spans="1:12" ht="13">
      <c r="A888" s="97"/>
      <c r="B888" s="97"/>
      <c r="F888" s="98"/>
      <c r="K888" s="6"/>
      <c r="L888" s="6"/>
    </row>
    <row r="889" spans="1:12" ht="13">
      <c r="A889" s="97"/>
      <c r="B889" s="97"/>
      <c r="F889" s="98"/>
      <c r="K889" s="6"/>
      <c r="L889" s="6"/>
    </row>
    <row r="890" spans="1:12" ht="13">
      <c r="A890" s="97"/>
      <c r="B890" s="97"/>
      <c r="F890" s="98"/>
      <c r="K890" s="6"/>
      <c r="L890" s="6"/>
    </row>
    <row r="891" spans="1:12" ht="13">
      <c r="A891" s="97"/>
      <c r="B891" s="97"/>
      <c r="F891" s="98"/>
      <c r="K891" s="6"/>
      <c r="L891" s="6"/>
    </row>
    <row r="892" spans="1:12" ht="13">
      <c r="A892" s="97"/>
      <c r="B892" s="97"/>
      <c r="F892" s="98"/>
      <c r="K892" s="6"/>
      <c r="L892" s="6"/>
    </row>
    <row r="893" spans="1:12" ht="13">
      <c r="A893" s="97"/>
      <c r="B893" s="97"/>
      <c r="F893" s="98"/>
      <c r="K893" s="6"/>
      <c r="L893" s="6"/>
    </row>
    <row r="894" spans="1:12" ht="13">
      <c r="A894" s="97"/>
      <c r="B894" s="97"/>
      <c r="F894" s="98"/>
      <c r="K894" s="6"/>
      <c r="L894" s="6"/>
    </row>
    <row r="895" spans="1:12" ht="13">
      <c r="A895" s="97"/>
      <c r="B895" s="97"/>
      <c r="F895" s="98"/>
      <c r="K895" s="6"/>
      <c r="L895" s="6"/>
    </row>
    <row r="896" spans="1:12" ht="13">
      <c r="A896" s="97"/>
      <c r="B896" s="97"/>
      <c r="F896" s="98"/>
      <c r="K896" s="6"/>
      <c r="L896" s="6"/>
    </row>
    <row r="897" spans="1:12" ht="13">
      <c r="A897" s="97"/>
      <c r="B897" s="97"/>
      <c r="F897" s="98"/>
      <c r="K897" s="6"/>
      <c r="L897" s="6"/>
    </row>
    <row r="898" spans="1:12" ht="13">
      <c r="A898" s="97"/>
      <c r="B898" s="97"/>
      <c r="F898" s="98"/>
      <c r="K898" s="6"/>
      <c r="L898" s="6"/>
    </row>
    <row r="899" spans="1:12" ht="13">
      <c r="A899" s="97"/>
      <c r="B899" s="97"/>
      <c r="F899" s="98"/>
      <c r="K899" s="6"/>
      <c r="L899" s="6"/>
    </row>
    <row r="900" spans="1:12" ht="13">
      <c r="A900" s="97"/>
      <c r="B900" s="97"/>
      <c r="F900" s="98"/>
      <c r="K900" s="6"/>
      <c r="L900" s="6"/>
    </row>
    <row r="901" spans="1:12" ht="13">
      <c r="A901" s="97"/>
      <c r="B901" s="97"/>
      <c r="F901" s="98"/>
      <c r="K901" s="6"/>
      <c r="L901" s="6"/>
    </row>
    <row r="902" spans="1:12" ht="13">
      <c r="A902" s="97"/>
      <c r="B902" s="97"/>
      <c r="F902" s="98"/>
      <c r="K902" s="6"/>
      <c r="L902" s="6"/>
    </row>
    <row r="903" spans="1:12" ht="13">
      <c r="A903" s="97"/>
      <c r="B903" s="97"/>
      <c r="F903" s="98"/>
      <c r="K903" s="6"/>
      <c r="L903" s="6"/>
    </row>
    <row r="904" spans="1:12" ht="13">
      <c r="A904" s="97"/>
      <c r="B904" s="97"/>
      <c r="F904" s="98"/>
      <c r="K904" s="6"/>
      <c r="L904" s="6"/>
    </row>
    <row r="905" spans="1:12" ht="13">
      <c r="A905" s="97"/>
      <c r="B905" s="97"/>
      <c r="F905" s="98"/>
      <c r="K905" s="6"/>
      <c r="L905" s="6"/>
    </row>
    <row r="906" spans="1:12" ht="13">
      <c r="A906" s="97"/>
      <c r="B906" s="97"/>
      <c r="F906" s="98"/>
      <c r="K906" s="6"/>
      <c r="L906" s="6"/>
    </row>
    <row r="907" spans="1:12" ht="13">
      <c r="A907" s="97"/>
      <c r="B907" s="97"/>
      <c r="F907" s="98"/>
      <c r="K907" s="6"/>
      <c r="L907" s="6"/>
    </row>
    <row r="908" spans="1:12" ht="13">
      <c r="A908" s="97"/>
      <c r="B908" s="97"/>
      <c r="F908" s="98"/>
      <c r="K908" s="6"/>
      <c r="L908" s="6"/>
    </row>
    <row r="909" spans="1:12" ht="13">
      <c r="A909" s="97"/>
      <c r="B909" s="97"/>
      <c r="F909" s="98"/>
      <c r="K909" s="6"/>
      <c r="L909" s="6"/>
    </row>
    <row r="910" spans="1:12" ht="13">
      <c r="A910" s="97"/>
      <c r="B910" s="97"/>
      <c r="F910" s="98"/>
      <c r="K910" s="6"/>
      <c r="L910" s="6"/>
    </row>
    <row r="911" spans="1:12" ht="13">
      <c r="A911" s="97"/>
      <c r="B911" s="97"/>
      <c r="F911" s="98"/>
      <c r="K911" s="6"/>
      <c r="L911" s="6"/>
    </row>
    <row r="912" spans="1:12" ht="13">
      <c r="A912" s="97"/>
      <c r="B912" s="97"/>
      <c r="F912" s="98"/>
      <c r="K912" s="6"/>
      <c r="L912" s="6"/>
    </row>
    <row r="913" spans="1:12" ht="13">
      <c r="A913" s="97"/>
      <c r="B913" s="97"/>
      <c r="F913" s="98"/>
      <c r="K913" s="6"/>
      <c r="L913" s="6"/>
    </row>
    <row r="914" spans="1:12" ht="13">
      <c r="A914" s="97"/>
      <c r="B914" s="97"/>
      <c r="F914" s="98"/>
      <c r="K914" s="6"/>
      <c r="L914" s="6"/>
    </row>
    <row r="915" spans="1:12" ht="13">
      <c r="A915" s="97"/>
      <c r="B915" s="97"/>
      <c r="F915" s="98"/>
      <c r="K915" s="6"/>
      <c r="L915" s="6"/>
    </row>
    <row r="916" spans="1:12" ht="13">
      <c r="A916" s="97"/>
      <c r="B916" s="97"/>
      <c r="F916" s="98"/>
      <c r="K916" s="6"/>
      <c r="L916" s="6"/>
    </row>
    <row r="917" spans="1:12" ht="13">
      <c r="A917" s="97"/>
      <c r="B917" s="97"/>
      <c r="F917" s="98"/>
      <c r="K917" s="6"/>
      <c r="L917" s="6"/>
    </row>
    <row r="918" spans="1:12" ht="13">
      <c r="A918" s="97"/>
      <c r="B918" s="97"/>
      <c r="F918" s="98"/>
      <c r="K918" s="6"/>
      <c r="L918" s="6"/>
    </row>
    <row r="919" spans="1:12" ht="13">
      <c r="A919" s="97"/>
      <c r="B919" s="97"/>
      <c r="F919" s="98"/>
      <c r="K919" s="6"/>
      <c r="L919" s="6"/>
    </row>
    <row r="920" spans="1:12" ht="13">
      <c r="A920" s="97"/>
      <c r="B920" s="97"/>
      <c r="F920" s="98"/>
      <c r="K920" s="6"/>
      <c r="L920" s="6"/>
    </row>
    <row r="921" spans="1:12" ht="13">
      <c r="A921" s="97"/>
      <c r="B921" s="97"/>
      <c r="F921" s="98"/>
      <c r="K921" s="6"/>
      <c r="L921" s="6"/>
    </row>
    <row r="922" spans="1:12" ht="13">
      <c r="A922" s="97"/>
      <c r="B922" s="97"/>
      <c r="F922" s="98"/>
      <c r="K922" s="6"/>
      <c r="L922" s="6"/>
    </row>
    <row r="923" spans="1:12" ht="13">
      <c r="A923" s="97"/>
      <c r="B923" s="97"/>
      <c r="F923" s="98"/>
      <c r="K923" s="6"/>
      <c r="L923" s="6"/>
    </row>
    <row r="924" spans="1:12" ht="13">
      <c r="A924" s="97"/>
      <c r="B924" s="97"/>
      <c r="F924" s="98"/>
      <c r="K924" s="6"/>
      <c r="L924" s="6"/>
    </row>
    <row r="925" spans="1:12" ht="13">
      <c r="A925" s="97"/>
      <c r="B925" s="97"/>
      <c r="F925" s="98"/>
      <c r="K925" s="6"/>
      <c r="L925" s="6"/>
    </row>
    <row r="926" spans="1:12" ht="13">
      <c r="A926" s="97"/>
      <c r="B926" s="97"/>
      <c r="F926" s="98"/>
      <c r="K926" s="6"/>
      <c r="L926" s="6"/>
    </row>
    <row r="927" spans="1:12" ht="13">
      <c r="A927" s="97"/>
      <c r="B927" s="97"/>
      <c r="F927" s="98"/>
      <c r="K927" s="6"/>
      <c r="L927" s="6"/>
    </row>
    <row r="928" spans="1:12" ht="13">
      <c r="A928" s="97"/>
      <c r="B928" s="97"/>
      <c r="F928" s="98"/>
      <c r="K928" s="6"/>
      <c r="L928" s="6"/>
    </row>
    <row r="929" spans="1:12" ht="13">
      <c r="A929" s="97"/>
      <c r="B929" s="97"/>
      <c r="F929" s="98"/>
      <c r="K929" s="6"/>
      <c r="L929" s="6"/>
    </row>
    <row r="930" spans="1:12" ht="13">
      <c r="A930" s="97"/>
      <c r="B930" s="97"/>
      <c r="F930" s="98"/>
      <c r="K930" s="6"/>
      <c r="L930" s="6"/>
    </row>
    <row r="931" spans="1:12" ht="13">
      <c r="A931" s="97"/>
      <c r="B931" s="97"/>
      <c r="F931" s="98"/>
      <c r="K931" s="6"/>
      <c r="L931" s="6"/>
    </row>
    <row r="932" spans="1:12" ht="13">
      <c r="A932" s="97"/>
      <c r="B932" s="97"/>
      <c r="F932" s="98"/>
      <c r="K932" s="6"/>
      <c r="L932" s="6"/>
    </row>
    <row r="933" spans="1:12" ht="13">
      <c r="A933" s="97"/>
      <c r="B933" s="97"/>
      <c r="F933" s="98"/>
      <c r="K933" s="6"/>
      <c r="L933" s="6"/>
    </row>
    <row r="934" spans="1:12" ht="13">
      <c r="A934" s="97"/>
      <c r="B934" s="97"/>
      <c r="F934" s="98"/>
      <c r="K934" s="6"/>
      <c r="L934" s="6"/>
    </row>
    <row r="935" spans="1:12" ht="13">
      <c r="A935" s="97"/>
      <c r="B935" s="97"/>
      <c r="F935" s="98"/>
      <c r="K935" s="6"/>
      <c r="L935" s="6"/>
    </row>
    <row r="936" spans="1:12" ht="13">
      <c r="A936" s="97"/>
      <c r="B936" s="97"/>
      <c r="F936" s="98"/>
      <c r="K936" s="6"/>
      <c r="L936" s="6"/>
    </row>
    <row r="937" spans="1:12" ht="13">
      <c r="A937" s="97"/>
      <c r="B937" s="97"/>
      <c r="F937" s="98"/>
      <c r="K937" s="6"/>
      <c r="L937" s="6"/>
    </row>
    <row r="938" spans="1:12" ht="13">
      <c r="A938" s="97"/>
      <c r="B938" s="97"/>
      <c r="F938" s="98"/>
      <c r="K938" s="6"/>
      <c r="L938" s="6"/>
    </row>
    <row r="939" spans="1:12" ht="13">
      <c r="A939" s="97"/>
      <c r="B939" s="97"/>
      <c r="F939" s="98"/>
      <c r="K939" s="6"/>
      <c r="L939" s="6"/>
    </row>
    <row r="940" spans="1:12" ht="13">
      <c r="A940" s="97"/>
      <c r="B940" s="97"/>
      <c r="F940" s="98"/>
      <c r="K940" s="6"/>
      <c r="L940" s="6"/>
    </row>
    <row r="941" spans="1:12" ht="13">
      <c r="A941" s="97"/>
      <c r="B941" s="97"/>
      <c r="F941" s="98"/>
      <c r="K941" s="6"/>
      <c r="L941" s="6"/>
    </row>
    <row r="942" spans="1:12" ht="13">
      <c r="A942" s="97"/>
      <c r="B942" s="97"/>
      <c r="F942" s="98"/>
      <c r="K942" s="6"/>
      <c r="L942" s="6"/>
    </row>
    <row r="943" spans="1:12" ht="13">
      <c r="A943" s="97"/>
      <c r="B943" s="97"/>
      <c r="F943" s="98"/>
      <c r="K943" s="6"/>
      <c r="L943" s="6"/>
    </row>
    <row r="944" spans="1:12" ht="13">
      <c r="A944" s="97"/>
      <c r="B944" s="97"/>
      <c r="F944" s="98"/>
      <c r="K944" s="6"/>
      <c r="L944" s="6"/>
    </row>
    <row r="945" spans="1:12" ht="13">
      <c r="A945" s="97"/>
      <c r="B945" s="97"/>
      <c r="F945" s="98"/>
      <c r="K945" s="6"/>
      <c r="L945" s="6"/>
    </row>
    <row r="946" spans="1:12" ht="13">
      <c r="A946" s="97"/>
      <c r="B946" s="97"/>
      <c r="F946" s="98"/>
      <c r="K946" s="6"/>
      <c r="L946" s="6"/>
    </row>
    <row r="947" spans="1:12" ht="13">
      <c r="A947" s="97"/>
      <c r="B947" s="97"/>
      <c r="F947" s="98"/>
      <c r="K947" s="6"/>
      <c r="L947" s="6"/>
    </row>
    <row r="948" spans="1:12" ht="13">
      <c r="A948" s="97"/>
      <c r="B948" s="97"/>
      <c r="F948" s="98"/>
      <c r="K948" s="6"/>
      <c r="L948" s="6"/>
    </row>
    <row r="949" spans="1:12" ht="13">
      <c r="A949" s="97"/>
      <c r="B949" s="97"/>
      <c r="F949" s="98"/>
      <c r="K949" s="6"/>
      <c r="L949" s="6"/>
    </row>
    <row r="950" spans="1:12" ht="13">
      <c r="A950" s="97"/>
      <c r="B950" s="97"/>
      <c r="F950" s="98"/>
      <c r="K950" s="6"/>
      <c r="L950" s="6"/>
    </row>
    <row r="951" spans="1:12" ht="13">
      <c r="A951" s="97"/>
      <c r="B951" s="97"/>
      <c r="F951" s="98"/>
      <c r="K951" s="6"/>
      <c r="L951" s="6"/>
    </row>
    <row r="952" spans="1:12" ht="13">
      <c r="A952" s="97"/>
      <c r="B952" s="97"/>
      <c r="F952" s="98"/>
      <c r="K952" s="6"/>
      <c r="L952" s="6"/>
    </row>
    <row r="953" spans="1:12" ht="13">
      <c r="A953" s="97"/>
      <c r="B953" s="97"/>
      <c r="F953" s="98"/>
      <c r="K953" s="6"/>
      <c r="L953" s="6"/>
    </row>
    <row r="954" spans="1:12" ht="13">
      <c r="A954" s="97"/>
      <c r="B954" s="97"/>
      <c r="F954" s="98"/>
      <c r="K954" s="6"/>
      <c r="L954" s="6"/>
    </row>
    <row r="955" spans="1:12" ht="13">
      <c r="A955" s="97"/>
      <c r="B955" s="97"/>
      <c r="F955" s="98"/>
      <c r="K955" s="6"/>
      <c r="L955" s="6"/>
    </row>
    <row r="956" spans="1:12" ht="13">
      <c r="A956" s="97"/>
      <c r="B956" s="97"/>
      <c r="F956" s="98"/>
      <c r="K956" s="6"/>
      <c r="L956" s="6"/>
    </row>
    <row r="957" spans="1:12" ht="13">
      <c r="A957" s="97"/>
      <c r="B957" s="97"/>
      <c r="F957" s="98"/>
      <c r="K957" s="6"/>
      <c r="L957" s="6"/>
    </row>
    <row r="958" spans="1:12" ht="13">
      <c r="A958" s="97"/>
      <c r="B958" s="97"/>
      <c r="F958" s="98"/>
      <c r="K958" s="6"/>
      <c r="L958" s="6"/>
    </row>
    <row r="959" spans="1:12" ht="13">
      <c r="A959" s="97"/>
      <c r="B959" s="97"/>
      <c r="F959" s="98"/>
      <c r="K959" s="6"/>
      <c r="L959" s="6"/>
    </row>
    <row r="960" spans="1:12" ht="13">
      <c r="A960" s="97"/>
      <c r="B960" s="97"/>
      <c r="F960" s="98"/>
      <c r="K960" s="6"/>
      <c r="L960" s="6"/>
    </row>
    <row r="961" spans="1:12" ht="13">
      <c r="A961" s="97"/>
      <c r="B961" s="97"/>
      <c r="F961" s="98"/>
      <c r="K961" s="6"/>
      <c r="L961" s="6"/>
    </row>
    <row r="962" spans="1:12" ht="13">
      <c r="A962" s="97"/>
      <c r="B962" s="97"/>
      <c r="F962" s="98"/>
      <c r="K962" s="6"/>
      <c r="L962" s="6"/>
    </row>
    <row r="963" spans="1:12" ht="13">
      <c r="A963" s="97"/>
      <c r="B963" s="97"/>
      <c r="F963" s="98"/>
      <c r="K963" s="6"/>
      <c r="L963" s="6"/>
    </row>
    <row r="964" spans="1:12" ht="13">
      <c r="A964" s="97"/>
      <c r="B964" s="97"/>
      <c r="F964" s="98"/>
      <c r="K964" s="6"/>
      <c r="L964" s="6"/>
    </row>
    <row r="965" spans="1:12" ht="13">
      <c r="A965" s="97"/>
      <c r="B965" s="97"/>
      <c r="F965" s="98"/>
      <c r="K965" s="6"/>
      <c r="L965" s="6"/>
    </row>
    <row r="966" spans="1:12" ht="13">
      <c r="A966" s="97"/>
      <c r="B966" s="97"/>
      <c r="F966" s="98"/>
      <c r="K966" s="6"/>
      <c r="L966" s="6"/>
    </row>
    <row r="967" spans="1:12" ht="13">
      <c r="A967" s="97"/>
      <c r="B967" s="97"/>
      <c r="F967" s="98"/>
      <c r="K967" s="6"/>
      <c r="L967" s="6"/>
    </row>
    <row r="968" spans="1:12" ht="13">
      <c r="A968" s="97"/>
      <c r="B968" s="97"/>
      <c r="F968" s="98"/>
      <c r="K968" s="6"/>
      <c r="L968" s="6"/>
    </row>
    <row r="969" spans="1:12" ht="13">
      <c r="A969" s="97"/>
      <c r="B969" s="97"/>
      <c r="F969" s="98"/>
      <c r="K969" s="6"/>
      <c r="L969" s="6"/>
    </row>
    <row r="970" spans="1:12" ht="13">
      <c r="A970" s="97"/>
      <c r="B970" s="97"/>
      <c r="F970" s="98"/>
      <c r="K970" s="6"/>
      <c r="L970" s="6"/>
    </row>
    <row r="971" spans="1:12" ht="13">
      <c r="A971" s="97"/>
      <c r="B971" s="97"/>
      <c r="F971" s="98"/>
      <c r="K971" s="6"/>
      <c r="L971" s="6"/>
    </row>
    <row r="972" spans="1:12" ht="13">
      <c r="A972" s="97"/>
      <c r="B972" s="97"/>
      <c r="F972" s="98"/>
      <c r="K972" s="6"/>
      <c r="L972" s="6"/>
    </row>
    <row r="973" spans="1:12" ht="13">
      <c r="A973" s="97"/>
      <c r="B973" s="97"/>
      <c r="F973" s="98"/>
      <c r="K973" s="6"/>
      <c r="L973" s="6"/>
    </row>
    <row r="974" spans="1:12" ht="13">
      <c r="A974" s="97"/>
      <c r="B974" s="97"/>
      <c r="F974" s="98"/>
      <c r="K974" s="6"/>
      <c r="L974" s="6"/>
    </row>
    <row r="975" spans="1:12" ht="13">
      <c r="A975" s="97"/>
      <c r="B975" s="97"/>
      <c r="F975" s="98"/>
      <c r="K975" s="6"/>
      <c r="L975" s="6"/>
    </row>
    <row r="976" spans="1:12" ht="13">
      <c r="A976" s="97"/>
      <c r="B976" s="97"/>
      <c r="F976" s="98"/>
      <c r="K976" s="6"/>
      <c r="L976" s="6"/>
    </row>
    <row r="977" spans="1:12" ht="13">
      <c r="A977" s="97"/>
      <c r="B977" s="97"/>
      <c r="F977" s="98"/>
      <c r="K977" s="6"/>
      <c r="L977" s="6"/>
    </row>
    <row r="978" spans="1:12" ht="13">
      <c r="A978" s="97"/>
      <c r="B978" s="97"/>
      <c r="F978" s="98"/>
      <c r="K978" s="6"/>
      <c r="L978" s="6"/>
    </row>
    <row r="979" spans="1:12" ht="13">
      <c r="A979" s="97"/>
      <c r="B979" s="97"/>
      <c r="F979" s="98"/>
      <c r="K979" s="6"/>
      <c r="L979" s="6"/>
    </row>
    <row r="980" spans="1:12" ht="13">
      <c r="A980" s="97"/>
      <c r="B980" s="97"/>
      <c r="F980" s="98"/>
      <c r="K980" s="6"/>
      <c r="L980" s="6"/>
    </row>
    <row r="981" spans="1:12" ht="13">
      <c r="A981" s="97"/>
      <c r="B981" s="97"/>
      <c r="F981" s="98"/>
      <c r="K981" s="6"/>
      <c r="L981" s="6"/>
    </row>
    <row r="982" spans="1:12" ht="13">
      <c r="A982" s="97"/>
      <c r="B982" s="97"/>
      <c r="F982" s="98"/>
      <c r="K982" s="6"/>
      <c r="L982" s="6"/>
    </row>
    <row r="983" spans="1:12" ht="13">
      <c r="A983" s="97"/>
      <c r="B983" s="97"/>
      <c r="F983" s="98"/>
      <c r="K983" s="6"/>
      <c r="L983" s="6"/>
    </row>
    <row r="984" spans="1:12" ht="13">
      <c r="A984" s="97"/>
      <c r="B984" s="97"/>
      <c r="F984" s="98"/>
      <c r="K984" s="6"/>
      <c r="L984" s="6"/>
    </row>
    <row r="985" spans="1:12" ht="13">
      <c r="A985" s="97"/>
      <c r="B985" s="97"/>
      <c r="F985" s="98"/>
      <c r="K985" s="6"/>
      <c r="L985" s="6"/>
    </row>
    <row r="986" spans="1:12" ht="13">
      <c r="A986" s="97"/>
      <c r="B986" s="97"/>
      <c r="F986" s="98"/>
      <c r="K986" s="6"/>
      <c r="L986" s="6"/>
    </row>
    <row r="987" spans="1:12" ht="13">
      <c r="A987" s="97"/>
      <c r="B987" s="97"/>
      <c r="F987" s="98"/>
      <c r="K987" s="6"/>
      <c r="L987" s="6"/>
    </row>
    <row r="988" spans="1:12" ht="13">
      <c r="A988" s="97"/>
      <c r="B988" s="97"/>
      <c r="F988" s="98"/>
      <c r="K988" s="6"/>
      <c r="L988" s="6"/>
    </row>
    <row r="989" spans="1:12" ht="13">
      <c r="A989" s="97"/>
      <c r="B989" s="97"/>
      <c r="F989" s="98"/>
      <c r="K989" s="6"/>
      <c r="L989" s="6"/>
    </row>
    <row r="990" spans="1:12" ht="13">
      <c r="A990" s="97"/>
      <c r="B990" s="97"/>
      <c r="F990" s="98"/>
      <c r="K990" s="6"/>
      <c r="L990" s="6"/>
    </row>
    <row r="991" spans="1:12" ht="13">
      <c r="A991" s="97"/>
      <c r="B991" s="97"/>
      <c r="F991" s="98"/>
      <c r="K991" s="6"/>
      <c r="L991" s="6"/>
    </row>
    <row r="992" spans="1:12" ht="13">
      <c r="A992" s="97"/>
      <c r="B992" s="97"/>
      <c r="F992" s="98"/>
      <c r="K992" s="6"/>
      <c r="L992" s="6"/>
    </row>
    <row r="993" spans="1:12" ht="13">
      <c r="A993" s="97"/>
      <c r="B993" s="97"/>
      <c r="F993" s="98"/>
      <c r="K993" s="6"/>
      <c r="L993" s="6"/>
    </row>
    <row r="994" spans="1:12" ht="13">
      <c r="A994" s="97"/>
      <c r="B994" s="97"/>
      <c r="F994" s="98"/>
      <c r="K994" s="6"/>
      <c r="L994" s="6"/>
    </row>
    <row r="995" spans="1:12" ht="13">
      <c r="A995" s="97"/>
      <c r="B995" s="97"/>
      <c r="F995" s="98"/>
      <c r="K995" s="6"/>
      <c r="L995" s="6"/>
    </row>
    <row r="996" spans="1:12" ht="13">
      <c r="A996" s="97"/>
      <c r="B996" s="97"/>
      <c r="F996" s="98"/>
      <c r="K996" s="6"/>
      <c r="L996" s="6"/>
    </row>
    <row r="997" spans="1:12" ht="13">
      <c r="A997" s="97"/>
      <c r="B997" s="97"/>
      <c r="F997" s="98"/>
      <c r="K997" s="6"/>
      <c r="L997" s="6"/>
    </row>
    <row r="998" spans="1:12" ht="13">
      <c r="A998" s="97"/>
      <c r="B998" s="97"/>
      <c r="F998" s="98"/>
      <c r="K998" s="6"/>
      <c r="L998" s="6"/>
    </row>
    <row r="999" spans="1:12" ht="13">
      <c r="A999" s="97"/>
      <c r="B999" s="97"/>
      <c r="F999" s="98"/>
      <c r="K999" s="6"/>
      <c r="L999" s="6"/>
    </row>
    <row r="1000" spans="1:12" ht="13">
      <c r="A1000" s="97"/>
      <c r="B1000" s="97"/>
      <c r="F1000" s="98"/>
      <c r="K1000" s="6"/>
      <c r="L1000" s="6"/>
    </row>
  </sheetData>
  <mergeCells count="76">
    <mergeCell ref="K20:K23"/>
    <mergeCell ref="L20:L23"/>
    <mergeCell ref="G24:H24"/>
    <mergeCell ref="I24:K24"/>
    <mergeCell ref="G26:H26"/>
    <mergeCell ref="A16:A23"/>
    <mergeCell ref="B16:B19"/>
    <mergeCell ref="F22:F23"/>
    <mergeCell ref="I26:J26"/>
    <mergeCell ref="G20:H23"/>
    <mergeCell ref="I20:J23"/>
    <mergeCell ref="I16:J19"/>
    <mergeCell ref="B20:B23"/>
    <mergeCell ref="C20:E20"/>
    <mergeCell ref="C21:E21"/>
    <mergeCell ref="C22:E23"/>
    <mergeCell ref="C26:E26"/>
    <mergeCell ref="K16:K19"/>
    <mergeCell ref="L16:L19"/>
    <mergeCell ref="C18:E19"/>
    <mergeCell ref="F18:F19"/>
    <mergeCell ref="B8:F8"/>
    <mergeCell ref="B9:F9"/>
    <mergeCell ref="C16:E17"/>
    <mergeCell ref="F16:F17"/>
    <mergeCell ref="G16:H19"/>
    <mergeCell ref="B11:F11"/>
    <mergeCell ref="B12:F12"/>
    <mergeCell ref="C15:E15"/>
    <mergeCell ref="G15:H15"/>
    <mergeCell ref="I15:J15"/>
    <mergeCell ref="B1:F1"/>
    <mergeCell ref="B2:F2"/>
    <mergeCell ref="B3:F3"/>
    <mergeCell ref="B6:F6"/>
    <mergeCell ref="B7:F7"/>
    <mergeCell ref="G39:H39"/>
    <mergeCell ref="E42:F42"/>
    <mergeCell ref="E43:F44"/>
    <mergeCell ref="K36:K38"/>
    <mergeCell ref="L36:L38"/>
    <mergeCell ref="C37:E38"/>
    <mergeCell ref="F37:F38"/>
    <mergeCell ref="I39:K39"/>
    <mergeCell ref="I27:J30"/>
    <mergeCell ref="B36:B38"/>
    <mergeCell ref="A43:A53"/>
    <mergeCell ref="B43:B44"/>
    <mergeCell ref="B45:B47"/>
    <mergeCell ref="B48:B50"/>
    <mergeCell ref="B51:B52"/>
    <mergeCell ref="A27:A38"/>
    <mergeCell ref="E45:F52"/>
    <mergeCell ref="I48:J48"/>
    <mergeCell ref="E53:F53"/>
    <mergeCell ref="C33:E33"/>
    <mergeCell ref="C34:E34"/>
    <mergeCell ref="I36:J38"/>
    <mergeCell ref="C36:E36"/>
    <mergeCell ref="G36:H38"/>
    <mergeCell ref="K27:K30"/>
    <mergeCell ref="L27:L30"/>
    <mergeCell ref="C29:E30"/>
    <mergeCell ref="F29:F30"/>
    <mergeCell ref="B31:B35"/>
    <mergeCell ref="C31:E31"/>
    <mergeCell ref="G31:H35"/>
    <mergeCell ref="I31:J35"/>
    <mergeCell ref="K31:K35"/>
    <mergeCell ref="L31:L35"/>
    <mergeCell ref="C32:E32"/>
    <mergeCell ref="B27:B30"/>
    <mergeCell ref="C35:E35"/>
    <mergeCell ref="C27:E28"/>
    <mergeCell ref="F27:F28"/>
    <mergeCell ref="G27:H30"/>
  </mergeCells>
  <printOptions horizontalCentered="1" gridLines="1"/>
  <pageMargins left="0.7" right="0.7" top="0.75" bottom="0.75" header="0" footer="0"/>
  <pageSetup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Evaluación Parcial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Gildardo Sánchez Ante</cp:lastModifiedBy>
  <cp:revision/>
  <dcterms:created xsi:type="dcterms:W3CDTF">2022-07-26T21:06:09Z</dcterms:created>
  <dcterms:modified xsi:type="dcterms:W3CDTF">2026-08-11T18:07:14Z</dcterms:modified>
  <cp:category/>
  <cp:contentStatus/>
</cp:coreProperties>
</file>